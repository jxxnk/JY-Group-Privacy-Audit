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8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JY-Lab\JY-Group-Privacy-Audit\reports\"/>
    </mc:Choice>
  </mc:AlternateContent>
  <x:bookViews>
    <x:workbookView xWindow="0" yWindow="0" windowWidth="22812" windowHeight="8112" activeTab="6"/>
  </x:bookViews>
  <x:sheets>
    <x:sheet name="Scope" sheetId="1" r:id="rId4"/>
    <x:sheet name="Assets" sheetId="2" r:id="rId5"/>
    <x:sheet name="Processing" sheetId="3" r:id="rId6"/>
    <x:sheet name="Accounts" sheetId="4" r:id="rId7"/>
    <x:sheet name="Sources" sheetId="5" r:id="rId8"/>
    <x:sheet name="Controls" sheetId="6" r:id="rId9"/>
    <x:sheet name="Checks" sheetId="7" r:id="rId10"/>
    <x:sheet name="Findings" sheetId="8" r:id="rId11"/>
    <x:sheet name="Actions" sheetId="9" r:id="rId12"/>
    <x:sheet name="Retest" sheetId="10" r:id="rId13"/>
    <x:sheet name="Evidence" sheetId="11" r:id="rId14"/>
    <x:sheet name="Incident" sheetId="12" r:id="rId15"/>
    <x:sheet name="FinalReview" sheetId="13" r:id="rId16"/>
  </x:sheets>
  <x:definedNames>
    <x:definedName name="_xlnm.Print_Titles" localSheetId="0">Scope!$1:$1</x:definedName>
    <x:definedName name="_xlnm.Print_Titles" localSheetId="1">Assets!$1:$1</x:definedName>
    <x:definedName name="_xlnm.Print_Titles" localSheetId="2">Processing!$1:$1</x:definedName>
    <x:definedName name="_xlnm.Print_Titles" localSheetId="3">Accounts!$1:$1</x:definedName>
    <x:definedName name="_xlnm.Print_Titles" localSheetId="4">Sources!$1:$1</x:definedName>
    <x:definedName name="_xlnm.Print_Titles" localSheetId="5">'Controls'!$1:$1</x:definedName>
    <x:definedName name="_xlnm.Print_Titles" localSheetId="6">'Checks'!$1:$1</x:definedName>
    <x:definedName name="_xlnm.Print_Titles" localSheetId="7">Findings!$1:$1</x:definedName>
    <x:definedName name="_xlnm.Print_Titles" localSheetId="8">Actions!$1:$1</x:definedName>
    <x:definedName name="_xlnm.Print_Titles" localSheetId="9">'Retest'!$1:$1</x:definedName>
    <x:definedName name="_xlnm.Print_Titles" localSheetId="10">Evidence!$1:$1</x:definedName>
    <x:definedName name="_xlnm.Print_Titles" localSheetId="11">Incident!$1:$1</x:definedName>
    <x:definedName name="_xlnm.Print_Titles" localSheetId="12">FinalReview!$1:$1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JY Lab</x:author>
  </x:authors>
  <x:commentList>
    <x:comment ref="F6:F6" authorId="0">
      <x:text>
        <x:r>
          <x:t>staff.csv S05 end_date=2026-09-14. 수행자 입력값을 유지.</x:t>
        </x:r>
      </x:text>
    </x:comment>
    <x:comment ref="G6:G6" authorId="0">
      <x:text>
        <x:r>
          <x:t>F-01 개선 후 현재값. 초기 시험 당시 Active=TRUE는 Checks C02·Findings F-01에 기록.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JY Lab</x:author>
  </x:authors>
  <x:commentList>
    <x:comment ref="F21:F21" authorId="0">
      <x:text>
        <x:r>
          <x:t>백업은 실측 전입니다. 컨테이너가 뜬 것만으로 백업 성공으로 보지 마세요. 판정은 미확인 유지.</x:t>
        </x:r>
      </x:text>
    </x:comment>
  </x:commentList>
</x:comments>
</file>

<file path=xl/comments3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JY Lab</x:author>
  </x:authors>
  <x:commentList>
    <x:comment ref="A1:A1" authorId="0">
      <x:text>
        <x:r>
          <x:t>11~13장 시험 결과. F-03 잔존은 개선 예정(T12 미삭제).</x:t>
        </x:r>
      </x:text>
    </x:comment>
  </x:commentList>
</x:comments>
</file>

<file path=xl/comments4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JY Lab</x:author>
  </x:authors>
  <x:commentList>
    <x:comment ref="A1:A1" authorId="0">
      <x:text>
        <x:r>
          <x:t>11장 시험 전에는 데이터 행을 넣지 마세요. 미흡 확정 문장 금지.</x:t>
        </x:r>
      </x:text>
    </x:comment>
  </x:commentList>
</x:comments>
</file>

<file path=xl/comments5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JY Lab</x:author>
  </x:authors>
  <x:commentList>
    <x:comment ref="A1:A1" authorId="0">
      <x:text>
        <x:r>
          <x:t>11장 시험 전에는 데이터 행을 넣지 마세요. 미흡 확정 문장 금지.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<x:sst xmlns:r="http://schemas.openxmlformats.org/officeDocument/2006/relationships" xmlns:c="http://schemas.openxmlformats.org/drawingml/2006/chart" xmlns:x="http://schemas.openxmlformats.org/spreadsheetml/2006/main" count="1254" uniqueCount="758">
  <x:si>
    <x:t>계정 복원·감사로그는 미확인. 로그인 후 캡처만으로 입력 계정을 독립 식별하기 어려움. 기존 세션·외부 토큰 회수 미확인.</x:t>
  </x:si>
  <x:si>
    <x:t>C:\JY-Lab\private-evidence\after\E-F02-A01-S04-T11-denied-T02tab.png</x:t>
  </x:si>
  <x:si>
    <x:t>F-01·F-02 재점검 적합. F-03은 삭제 범위 적합·T12 참조·로컬 사본(D03) 잔존 미흡. 잔존 파기는 예정.</x:t>
  </x:si>
  <x:si>
    <x:t>S-L01~S-L07</x:t>
  </x:si>
  <x:si>
    <x:t>후 캡처의 T11 주소와 번호, 권한 회수 후 삭제 전 순서 근거가 부족. S06 차단과 S03 제한업무 후 시험은 미확인. 화면의 찾을 수 없음은 과거 권한 회수 증명이 아님.</x:t>
  </x:si>
  <x:si>
    <x:t>종료일(2026-09-14) 이후에도 Active=TRUE·에이전트. 비활성 후 새 로그인 차단 확인. users-diff는 S05 active True→False만 변경.</x:t>
  </x:si>
  <x:si>
    <x:t>2.5.1 사용자 계정 관리(87쪽); 2.5.6 접근권한 검토(이번 실습에서 수행하지 않음); 2.6.3 응용프로그램 접근(105쪽); 3.4.1 개인정보 파기(240쪽)</x:t>
  </x:si>
  <x:si>
    <x:t>F-01~F-03 화면·JSON SHA256 수집. users-diff.json은 S05 active True→False만. 명부 이메일 .example.test. 토큰 미저장.</x:t>
  </x:si>
  <x:si>
    <x:t>S04 agent@service.example.test와 S06 maint@vendor.example.test가 JY-Restricted T11을 URL로 열람함.</x:t>
  </x:si>
  <x:si>
    <x:t>T12 잔존 표식, T15 보존, 로컬 jy-doc02-copy.txt(2026-10-07, 44바이트)를 확인함.
T12는 증적 유지를 위해 삭제하지 않음.
기한 2026-10-06은 경과, 미완료. 이전 상태는 예정.
연기 사유: T12 추가 삭제는 종료 조건이 아님.
T15는 시험 대조군으로 보존. 위험 수용과 분리.
모의 승인: 김준영, 2026-10-15. 실제 조직 승인 아님.
새 목표일과 다음 검토일은 미정.
백업 잔존 확인 전에는 완료로 적지 않음.</x:t>
  </x:si>
  <x:si>
    <x:t>T12 마커·다운로드 사본(jy-doc02-copy.txt)·백업은 미파기. 백업 잔존은 미확인. 삭제 미리보기와 completed 상태를 구분.</x:t>
  </x:si>
  <x:si>
    <x:t>백업·다운로드 사본·타 브라우저 세션은 미확인. 직접 T01 URL·첨부 거부 대상 식별 부족. 목록 숨김을 직접 접근 차단으로 확대하지 않음.</x:t>
  </x:si>
  <x:si>
    <x:t>evidence/sanitized/E-F02-A03.png</x:t>
  </x:si>
  <x:si>
    <x:t>삭제 요청 정보가 다른 고객 티켓·PC 다운로드 사본에 잔존.</x:t>
  </x:si>
  <x:si>
    <x:t>evidence/sanitized/E-F02-A02.png</x:t>
  </x:si>
  <x:si>
    <x:t>evidence/sanitized/E-F03-A01.png</x:t>
  </x:si>
  <x:si>
    <x:t>evidence/sanitized/E-F02-B01.png</x:t>
  </x:si>
  <x:si>
    <x:t>evidence/sanitized/E-F03-A02.png</x:t>
  </x:si>
  <x:si>
    <x:t>evidence/sanitized/E-F02-B03.png</x:t>
  </x:si>
  <x:si>
    <x:t>S05 active True→False만 변경. Git 제외</x:t>
  </x:si>
  <x:si>
    <x:t>Evidence, JSON-F01-DIFF, E-D03-A01</x:t>
  </x:si>
  <x:si>
    <x:t>https://www.law.go.kr/법령/개인정보보호법</x:t>
  </x:si>
  <x:si>
    <x:t>R-01, R-02a, R-02b, R-03, E-D03-A01</x:t>
  </x:si>
  <x:si>
    <x:t>정보통신기반 보호법 제9조. 이번 실습의 직접 기술 범위 아님</x:t>
  </x:si>
  <x:si>
    <x:t>주요정보통신기반시설 기술적 취약점 분석·평가 방법 상세가이드</x:t>
  </x:si>
  <x:si>
    <x:t>evidence/sanitized/E-F02-A01.png</x:t>
  </x:si>
  <x:si>
    <x:t>공개 제외. T02 탭 보조 화면. 정상업무는 E-F02-A02</x:t>
  </x:si>
  <x:si>
    <x:t>evidence/sanitized/E-F01-B01.png</x:t>
  </x:si>
  <x:si>
    <x:t>사용자 삭제 버튼이 참조 티켓·첨부·사본·백업을 파기하지 않음.</x:t>
  </x:si>
  <x:si>
    <x:t>evidence/sanitized/users-active.csv</x:t>
  </x:si>
  <x:si>
    <x:t>ENV-01/02 환경 증적 해시는 미기입. 원본은 Git 밖.</x:t>
  </x:si>
  <x:si>
    <x:t>F-03 잔존을 완료로 올리지 않음. E04 백업은 미확인.</x:t>
  </x:si>
  <x:si>
    <x:t>E-F01-B01, E-F01-A01, JSON-F01-DIFF</x:t>
  </x:si>
  <x:si>
    <x:t>evidence/sanitized/E-F01-A01.png</x:t>
  </x:si>
  <x:si>
    <x:t>C01 삭제·권한 회수 후에도 T12에서 받은 jy-doc02.txt가 PC에 남음. 2026-10-07 09:34, 44바이트.</x:t>
  </x:si>
  <x:si>
    <x:t>C:\JY-Lab\private-evidence\after\users-after-f01.json</x:t>
  </x:si>
  <x:si>
    <x:t>직원 6명 명부·Accounts 대조. Admin은 S01만. 이메일은 .example.test.</x:t>
  </x:si>
  <x:si>
    <x:t>E-F03-B01, E-F03-B02, E-F03-A01, E-F03-A02, E-D03-A01</x:t>
  </x:si>
  <x:si>
    <x:t>이전 표시 2026-10-06 00:00. 수집시각은 2026-09-26 15:40:14 KST</x:t>
  </x:si>
  <x:si>
    <x:t>C:\JY-Lab\private-evidence\before\E-F02-B02-S06-T11.png</x:t>
  </x:si>
  <x:si>
    <x:t>이전 표시 2026-10-06 00:00. 수집시각은 2026-10-06 10:54:56 KST</x:t>
  </x:si>
  <x:si>
    <x:t>3.4.1 개인정보 파기(240쪽). T12·참조·사본은 미흡, 백업은 미확인. 인증심사 아님.</x:t>
  </x:si>
  <x:si>
    <x:t>C02가 내 조직 티켓에서 C01의 T01 열람(공유 조직 예). 공유 아니오 후 T01 없음.</x:t>
  </x:si>
  <x:si>
    <x:t>C:\JY-Lab\private-evidence\before\E-F02-B01-S04-T11.png</x:t>
  </x:si>
  <x:si>
    <x:t>T11 #52028 열람. 일부 고객 상담. Restricted 이름만으로 영향 3을 주지 않음.</x:t>
  </x:si>
  <x:si>
    <x:t>직접 T01 URL과 첨부 거부 대상은 식별이 부족. 목록 숨김을 직접 접근 차단으로 보지 않음.</x:t>
  </x:si>
  <x:si>
    <x:t>2026-10-14에 법령 3개 머리글과 ISMS-P 쪽수를 확인. 조문 본문은 다시 읽지 않음.</x:t>
  </x:si>
  <x:si>
    <x:t>제한상담(고객 C01 표식 포함)이 일반상담원·외부 유지보수 계정에 노출.</x:t>
  </x:si>
  <x:si>
    <x:t>2026-10-07 T12에서 다운로드 확인. C01 삭제 후에도 사본 잔존.</x:t>
  </x:si>
  <x:si>
    <x:t>E-F02-B01, E-F02-B02, E-F02-A01, E-F02-A02</x:t>
  </x:si>
  <x:si>
    <x:t>C01 삭제는 자료 보안으로 실행. 접수·본인확인·회신 메일 흐름은 없음.</x:t>
  </x:si>
  <x:si>
    <x:t>계약종료 계정 회수 절차 없음. Users Active가 TRUE로 유지됨.</x:t>
  </x:si>
  <x:si>
    <x:t>제15·16·17·18·21·26·29·30·31·34·35-37 원문대조</x:t>
  </x:si>
  <x:si>
    <x:t>미실시. 기한 2026-10-06 경과, 미완료. 승인 S02, 실행 S01</x:t>
  </x:si>
  <x:si>
    <x:t>교육 1장·검토 양식 미작성. client-before에 교육 기록이 없음.</x:t>
  </x:si>
  <x:si>
    <x:t>재점검은 Retest R-02a. S03 Restricted full은 유지.</x:t>
  </x:si>
  <x:si>
    <x:t>상담 항목은 이름·이메일·문의·첨부. 합성자료에 주민번호·민감정보 없음.</x:t>
  </x:si>
  <x:si>
    <x:t>S04·S06이 T11(JY-Restricted, id=29/13) 열람. 개선 후 S04는 T11 권한 없음, T02(id=3)는 유지.</x:t>
  </x:si>
  <x:si>
    <x:t>가상 사업에서는 답변 후 추가 문의가 없으면 목적이 끝난 것으로 둔다. 법령 보관 기간 숫자는 확인 필요라 비워 둔다. E01은 미흡이다.</x:t>
  </x:si>
  <x:si>
    <x:t>2.5.1 최소권한, 2.6.3 응용프로그램 접근(105쪽)의 고객 티켓 공유 제한. 세션 차단·표시제한·제6조는 미확인. 인증심사 아님.</x:t>
  </x:si>
  <x:si>
    <x:t>agent@service.example.test</x:t>
  </x:si>
  <x:si>
    <x:t>lead@service.example.test</x:t>
  </x:si>
  <x:si>
    <x:t>운영(Zammad)과 방침 문구 불일치 가능.</x:t>
  </x:si>
  <x:si>
    <x:t>JY-Lab-Customers 공유 조직=아니오.</x:t>
  </x:si>
  <x:si>
    <x:t>법 제29조, 영 제30조 제1항 제2호 가목</x:t>
  </x:si>
  <x:si>
    <x:t>외부 AI 요약도구 미연결. 제공자 조건 공란.</x:t>
  </x:si>
  <x:si>
    <x:t>former@service.example.test</x:t>
  </x:si>
  <x:si>
    <x:t>maint@vendor.example.test</x:t>
  </x:si>
  <x:si>
    <x:t>종료일 도래 계정 회수(비활성) 점검 절차.</x:t>
  </x:si>
  <x:si>
    <x:t>상담 목적. 법령 보관 의무는 원문 확인 전</x:t>
  </x:si>
  <x:si>
    <x:t>02-privacy-policy.md.txt</x:t>
  </x:si>
  <x:si>
    <x:t>공개 제외. 로컬 사본 텍스트. 원본은 Git 밖</x:t>
  </x:si>
  <x:si>
    <x:t>개인정보 처리방침 작성지침(2026.4. 개정)</x:t>
  </x:si>
  <x:si>
    <x:t>12장. 필요 시 한시 권한 절차는 문서에 없음.</x:t>
  </x:si>
  <x:si>
    <x:t>작업에 필요한 동안. 상담 보유 사유가 아님</x:t>
  </x:si>
  <x:si>
    <x:t>https://www.isms-p.or.kr/ntcn/rcsrm/selectGnrlRcsrmList.do</x:t>
  </x:si>
  <x:si>
    <x:t>https://www.kisa.or.kr/2060204/form?lang_type=KO&amp;postSeq=22</x:t>
  </x:si>
  <x:si>
    <x:t>S04 group_names_access_map=JY-General full만. S06 그룹 맵 비움.</x:t>
  </x:si>
  <x:si>
    <x:t>C02 c02@customers.example.test가 내 조직 티켓에서 C01의 [T01]을 열람함.</x:t>
  </x:si>
  <x:si>
    <x:t>C:\JY-Lab\private-evidence\before\E-F03-B01-C01-preview.png</x:t>
  </x:si>
  <x:si>
    <x:t>가릴 항목 없음. 내 티켓 #52029 #52020 #52014 #52003. [T01] 없음. 목록 숨김</x:t>
  </x:si>
  <x:si>
    <x:t>C:\JY-Lab\private-evidence\after\E-F02-A03-C02-no-T01.png</x:t>
  </x:si>
  <x:si>
    <x:t>C:\JY-Lab\private-evidence\after\E-F03-A01-T12-residual.png</x:t>
  </x:si>
  <x:si>
    <x:t>C:\JY-Lab\private-evidence\before\E-F03-B02-T12-marker.png</x:t>
  </x:si>
  <x:si>
    <x:t>C:\JY-Lab\private-evidence\before\E-F03-B03-T15-control.png</x:t>
  </x:si>
  <x:si>
    <x:t>C:\JY-Lab\private-evidence\after\E-F02-A02-S04-T02-ok.png</x:t>
  </x:si>
  <x:si>
    <x:t>가릴 항목 없음. [T11] Ticket#52028, 그룹 JY-Restricted. S04 글자는 없음</x:t>
  </x:si>
  <x:si>
    <x:t>종료 뒤 T02 #52020 열람. 내부ID는 미확인. #52003은 다른 티켓. 영향은 일부 고객 상담.</x:t>
  </x:si>
  <x:si>
    <x:t>E-F01-B01, E-F01-A01, evidence/sanitized/users-active.csv</x:t>
  </x:si>
  <x:si>
    <x:t>기존 세션과 외부 토큰 회수는 미확인. F-01 전 화면은 T02 #52020이고 내부ID는 미확인.</x:t>
  </x:si>
  <x:si>
    <x:t>ISO/IEC 27701:2025 Information security, cybersecurity and privacy protection — Privacy information management systems — Requirements and guidance</x:t>
  </x:si>
  <x:si>
    <x:t>60분</x:t>
  </x:si>
  <x:si>
    <x:t>T0</x:t>
  </x:si>
  <x:si>
    <x:t>시각</x:t>
  </x:si>
  <x:si>
    <x:t>경과</x:t>
  </x:si>
  <x:si>
    <x:t>15분</x:t>
  </x:si>
  <x:si>
    <x:t>30분</x:t>
  </x:si>
  <x:si>
    <x:t>미정</x:t>
  </x:si>
  <x:si>
    <x:t>검토일</x:t>
  </x:si>
  <x:si>
    <x:t>담당</x:t>
  </x:si>
  <x:si>
    <x:t>AI 생성 조문 미사용. ISMS-P 인증심사 아님. ISO 본문 조항 미확인. KISA 상세가이드는 수행하지 않음. 고시 제5조 제3항·제6항과 제6조는 미확인.</x:t>
  </x:si>
  <x:si>
    <x:t>계획</x:t>
  </x:si>
  <x:si>
    <x:t>우선</x:t>
  </x:si>
  <x:si>
    <x:t>담당역할</x:t>
  </x:si>
  <x:si>
    <x:t>INC-01</x:t>
  </x:si>
  <x:si>
    <x:t>완료/미확인</x:t>
  </x:si>
  <x:si>
    <x:t>S01/S02</x:t>
  </x:si>
  <x:si>
    <x:t>모의 완료</x:t>
  </x:si>
  <x:si>
    <x:t>내부 보고</x:t>
  </x:si>
  <x:si>
    <x:t>부분 완료</x:t>
  </x:si>
  <x:si>
    <x:t>사건ID</x:t>
  </x:si>
  <x:si>
    <x:t>전달정보</x:t>
  </x:si>
  <x:si>
    <x:t>실습 증적 보존</x:t>
  </x:si>
  <x:si>
    <x:t>필요기간/판단상태</x:t>
  </x:si>
  <x:si>
    <x:t>고객 보유가 아님</x:t>
  </x:si>
  <x:si>
    <x:t>P-01과 같음</x:t>
  </x:si>
  <x:si>
    <x:t>초기 판정 유지</x:t>
  </x:si>
  <x:si>
    <x:t>초기 적합 유지</x:t>
  </x:si>
  <x:si>
    <x:t>2026-10-14</x:t>
  </x:si>
  <x:si>
    <x:t>초기 미흡 유지</x:t>
  </x:si>
  <x:si>
    <x:t>2026-10-06</x:t>
  </x:si>
  <x:si>
    <x:t>docs/data-flow.pdf 해시를 2026-10-14에 처음 기록.</x:t>
  </x:si>
  <x:si>
    <x:t>미흡 유지. A-03은 기한 경과/미완료. 새 목표일과 다음 검토일은 미정</x:t>
  </x:si>
  <x:si>
    <x:t>머리글 확인이며 조문 재독은 아님. S-L06과 S-L07은 재확인하지 않음.</x:t>
  </x:si>
  <x:si>
    <x:t>2026-10-15에 방침 문서를 다시 열지 않음.</x:t>
  </x:si>
  <x:si>
    <x:t>2026-10-15에 티켓 양식을 다시 열지 않음.</x:t>
  </x:si>
  <x:si>
    <x:t>권리 메일은 보내지 않음. 모의 절차 문서는 아직 없음.</x:t>
  </x:si>
  <x:si>
    <x:t>2026-10-15에 위탁 문서를 다시 열지 않음.</x:t>
  </x:si>
  <x:si>
    <x:t>2026-10-15에 인터뷰 문서를 다시 열지 않음.</x:t>
  </x:si>
  <x:si>
    <x:t>완료 화면은 다시 보지 않음. 참조 잔존은 E03.</x:t>
  </x:si>
  <x:si>
    <x:t>2026-10-15에 수탁 실적 문서를 다시 열지 않음.</x:t>
  </x:si>
  <x:si>
    <x:t>USB와 DLP는 하지 않음. T12는 삭제하지 않음.</x:t>
  </x:si>
  <x:si>
    <x:t>2026-10-15에 보유 문서를 다시 열지 않음.</x:t>
  </x:si>
  <x:si>
    <x:t>E-F03-A01, E-F03-A02, E-D03-A01</x:t>
  </x:si>
  <x:si>
    <x:t>초기 적합 유지. 판정 범위는 미리보기 삭제 범위만</x:t>
  </x:si>
  <x:si>
    <x:t>초기 미흡 유지. 재점검 적합 3건과 합산하지 않음</x:t>
  </x:si>
  <x:si>
    <x:t>실제 신고를 하지 않음. 72시간을 단정하지 않음.</x:t>
  </x:si>
  <x:si>
    <x:t>2026-10-15에 scope 문서를 다시 열지 않음.</x:t>
  </x:si>
  <x:si>
    <x:t>C02가 조직 목록에서 T01을 열람. 일부 고객 상담.</x:t>
  </x:si>
  <x:si>
    <x:t>백업 복구를 시험하지 않음.</x:t>
  </x:si>
  <x:si>
    <x:t>공격시험을 하지 않음.</x:t>
  </x:si>
  <x:si>
    <x:t>최종우선순위</x:t>
  </x:si>
  <x:si>
    <x:t>최종가능성</x:t>
  </x:si>
  <x:si>
    <x:t>최종영향</x:t>
  </x:si>
  <x:si>
    <x:t>평가기준일</x:t>
  </x:si>
  <x:si>
    <x:t>잔여영향</x:t>
  </x:si>
  <x:si>
    <x:t>최종점수</x:t>
  </x:si>
  <x:si>
    <x:t>산정근거</x:t>
  </x:si>
  <x:si>
    <x:t>잔여가능성</x:t>
  </x:si>
  <x:si>
    <x:t>잔여점수</x:t>
  </x:si>
  <x:si>
    <x:t>잔여우선순위</x:t>
  </x:si>
  <x:si>
    <x:t>항목ID</x:t>
  </x:si>
  <x:si>
    <x:t>초기판정</x:t>
  </x:si>
  <x:si>
    <x:t>인계결정</x:t>
  </x:si>
  <x:si>
    <x:t>검토대상</x:t>
  </x:si>
  <x:si>
    <x:t>현재관측</x:t>
  </x:si>
  <x:si>
    <x:t>현재상태</x:t>
  </x:si>
  <x:si>
    <x:t>미흡 유지</x:t>
  </x:si>
  <x:si>
    <x:t>미확인 유지</x:t>
  </x:si>
  <x:si>
    <x:t>docs/sources.csv S-L01~S-L07. 법 제21445호와 시행령 제36671호는 시행 2026-09-11, 고시 제2026-9호는 시행 2026-07-01로 머리글을 확인했다. ISMS-P 인증기준 안내서(2023.11)는 2.5.1·2.6.3·3.4.1 참고 연결이다. ISO/IEC 27701:2025는 공개 서지정보만 확인했다. KISA 주통기 기술 상세가이드는 이번 실습의 직접 기술 범위가 아니다.</x:t>
  </x:si>
  <x:si>
    <x:t>초기 판정 집계</x:t>
  </x:si>
  <x:si>
    <x:t>원본 JSON과 PNG는 Git 밖. 공개본은 evidence/sanitized.</x:t>
  </x:si>
  <x:si>
    <x:t>Accounts, evidence/sanitized/users-active.csv</x:t>
  </x:si>
  <x:si>
    <x:t>jy-doc02-copy.txt 해시가 2026-10-12와 같음. 사본은 남음.</x:t>
  </x:si>
  <x:si>
    <x:t>S05 종료 후 T02 열람 가능</x:t>
  </x:si>
  <x:si>
    <x:t>Active=false, 증적 보존</x:t>
  </x:si>
  <x:si>
    <x:t>실제 발송 없음. 초기 권리 절차 문서 없음.</x:t>
  </x:si>
  <x:si>
    <x:t>S-L01~S-L05. S-L04 시행일은 비움.</x:t>
  </x:si>
  <x:si>
    <x:t>2026-10-15에 교육 기록을 만들지 않음.</x:t>
  </x:si>
  <x:si>
    <x:t>초기 미흡 유지. 재점검 적합과 합산하지 않음</x:t>
  </x:si>
  <x:si>
    <x:t>미확인 유지. 백업 확인 전에는 완료로 적지 않음</x:t>
  </x:si>
  <x:si>
    <x:t>R-01, R-02a, R-02b, R-03</x:t>
  </x:si>
  <x:si>
    <x:t>3조직 1시스템·제외 명시</x:t>
  </x:si>
  <x:si>
    <x:t>제공자 조건 공란 표시</x:t>
  </x:si>
  <x:si>
    <x:t>대통령령 제36671호</x:t>
  </x:si>
  <x:si>
    <x:t>상담 종료일. 기산일은 공란</x:t>
  </x:si>
  <x:si>
    <x:t>컨테이너 실행≠백업 성공</x:t>
  </x:si>
  <x:si>
    <x:t>2025-12-24 게시</x:t>
  </x:si>
  <x:si>
    <x:t>개인정보 보호 담당(S02)</x:t>
  </x:si>
  <x:si>
    <x:t>기간 숫자 없음. 확인 필요</x:t>
  </x:si>
  <x:si>
    <x:t>증적 고정 후 별도 결정</x:t>
  </x:si>
  <x:si>
    <x:t>General full</x:t>
  </x:si>
  <x:si>
    <x:t>출처마다 시행일·확인일</x:t>
  </x:si>
  <x:si>
    <x:t>Users Active</x:t>
  </x:si>
  <x:si>
    <x:t>Users 스냅샷 개선 전</x:t>
  </x:si>
  <x:si>
    <x:t>연간 수탁 점검은 D01.</x:t>
  </x:si>
  <x:si>
    <x:t>Service/Retail</x:t>
  </x:si>
  <x:si>
    <x:t>법 제21조 제1항·제2항</x:t>
  </x:si>
  <x:si>
    <x:t>이름·이메일·본문·첨부</x:t>
  </x:si>
  <x:si>
    <x:t>그룹권한·Shared Org</x:t>
  </x:si>
  <x:si>
    <x:t>JSON-F01-DIFF</x:t>
  </x:si>
  <x:si>
    <x:t>고객 조직 기본 비공유.</x:t>
  </x:si>
  <x:si>
    <x:t>장기 서명·이수 증빙 없음.</x:t>
  </x:si>
  <x:si>
    <x:t>C01 자료 보안 미리보기</x:t>
  </x:si>
  <x:si>
    <x:t>C01 삭제 후 마커 잔존</x:t>
  </x:si>
  <x:si>
    <x:t>이름·이메일·문의·첨부</x:t>
  </x:si>
  <x:si>
    <x:t>S04 T11 권한 없음</x:t>
  </x:si>
  <x:si>
    <x:t>시스템 관리자(S01)</x:t>
  </x:si>
  <x:si>
    <x:t>티켓양식·제15·16조</x:t>
  </x:si>
  <x:si>
    <x:t>S05 Active·로그인</x:t>
  </x:si>
  <x:si>
    <x:t>논리흐름. 백업 실측 아님.</x:t>
  </x:si>
  <x:si>
    <x:t>01-business.md</x:t>
  </x:si>
  <x:si>
    <x:t>미리보기=T01 T11</x:t>
  </x:si>
  <x:si>
    <x:t>composed images</x:t>
  </x:si>
  <x:si>
    <x:t>S06 Restricted</x:t>
  </x:si>
  <x:si>
    <x:t>참고 연결(인증심사 아님)</x:t>
  </x:si>
  <x:si>
    <x:t>JY-Restricted</x:t>
  </x:si>
  <x:si>
    <x:t>개인정보 보호법 시행령</x:t>
  </x:si>
  <x:si>
    <x:t>Processing</x:t>
  </x:si>
  <x:si>
    <x:t>완료와 예정 구분</x:t>
  </x:si>
  <x:si>
    <x:t>요약도구 검토서</x:t>
  </x:si>
  <x:si>
    <x:t>JSON-F01-B</x:t>
  </x:si>
  <x:si>
    <x:t>E-F03-B01</x:t>
  </x:si>
  <x:si>
    <x:t>계약과 운영 확인</x:t>
  </x:si>
  <x:si>
    <x:t>JSON-F01-A</x:t>
  </x:si>
  <x:si>
    <x:t>E-F03-A01</x:t>
  </x:si>
  <x:si>
    <x:t>공개 서지정보만. 본문 조항 미확인</x:t>
  </x:si>
  <x:si>
    <x:t>수동 diff 생성시각은 미기록</x:t>
  </x:si>
  <x:si>
    <x:t>A01 보조. 동일 세션 T02 탭</x:t>
  </x:si>
  <x:si>
    <x:t>Data Privacy·참조·사본</x:t>
  </x:si>
  <x:si>
    <x:t>Users 스냅샷 F-01 후</x:t>
  </x:si>
  <x:si>
    <x:t>05-retention.md.txt</x:t>
  </x:si>
  <x:si>
    <x:t>개인정보의 안전성 확보조치 기준</x:t>
  </x:si>
  <x:si>
    <x:t>개인식별·Admin 과다 없음</x:t>
  </x:si>
  <x:si>
    <x:t>C01 Data Privacy</x:t>
  </x:si>
  <x:si>
    <x:t>scope.md와 URL 대조</x:t>
  </x:si>
  <x:si>
    <x:t>C02 본인 티켓은 개요에서 유지</x:t>
  </x:si>
  <x:si>
    <x:t>실제 조직 운영·서명은 미확인.</x:t>
  </x:si>
  <x:si>
    <x:t>다른 고객의 개인 문의 상호열람.</x:t>
  </x:si>
  <x:si>
    <x:t>S05 active=false</x:t>
  </x:si>
  <x:si>
    <x:t>삭제 범위만 적합. 잔존은 E03</x:t>
  </x:si>
  <x:si>
    <x:t>이번 공개 검수에서 다시 열지 않음</x:t>
  </x:si>
  <x:si>
    <x:t>06-incident.md.txt</x:t>
  </x:si>
  <x:si>
    <x:t>작업 종료. 이번 부여 행은 없음</x:t>
  </x:si>
  <x:si>
    <x:t>docs/scope.md.txt</x:t>
  </x:si>
  <x:si>
    <x:t>없음 (Restricted 회수)</x:t>
  </x:si>
  <x:si>
    <x:t>docs/data-flow.pdf</x:t>
  </x:si>
  <x:si>
    <x:t>종료 계정 비활성+새 로그인 차단</x:t>
  </x:si>
  <x:si>
    <x:t>T12 마커와 첨부. 로컬 사본</x:t>
  </x:si>
  <x:si>
    <x:t>컨테이너 실행은 백업 성공이 아님.</x:t>
  </x:si>
  <x:si>
    <x:t>C02 내 조직에서 T01 없음</x:t>
  </x:si>
  <x:si>
    <x:t>기간 숫자 없음. 새 목표일 미정</x:t>
  </x:si>
  <x:si>
    <x:t>가상 명부. 실명 인사시스템 없음.</x:t>
  </x:si>
  <x:si>
    <x:t>시험 증적. 고객 보유 기간과 별도</x:t>
  </x:si>
  <x:si>
    <x:t>Accounts, staff.csv</x:t>
  </x:si>
  <x:si>
    <x:t>실제 신고·72시간 단순화 금지.</x:t>
  </x:si>
  <x:si>
    <x:t>T12 jy-doc02 로컬 사본</x:t>
  </x:si>
  <x:si>
    <x:t>S04·S06의 T11 URL</x:t>
  </x:si>
  <x:si>
    <x:t>2026-10-06 잔존 확인</x:t>
  </x:si>
  <x:si>
    <x:t>미흡 유지. 훈련 기록은 11단계</x:t>
  </x:si>
  <x:si>
    <x:t>실제 조직 운영과 서명은 미확인.</x:t>
  </x:si>
  <x:si>
    <x:t>운영과 방침 문구가 다를 수 있음.</x:t>
  </x:si>
  <x:si>
    <x:t>미흡 유지. 문안 수정은 이후 단계</x:t>
  </x:si>
  <x:si>
    <x:t>미확인 유지. 모의 기록은 11단계</x:t>
  </x:si>
  <x:si>
    <x:t>장기 서명과 이수 증빙 없음.</x:t>
  </x:si>
  <x:si>
    <x:t>미흡 유지. 교육 파일은 이후 단계</x:t>
  </x:si>
  <x:si>
    <x:t>S03 Restricted full 유지. 백업 사본 미확인. 후 캡처의 T11 주소·번호와 권한 회수 후·삭제 전 순서 근거 부족. S06 차단·S03 제한업무 후 시험 미확인. 화면의 ‘찾을 수 없음’은 과거 권한 회수 증명이 아니다.</x:t>
  </x:si>
  <x:si>
    <x:t>C01 Data Privacy 실행 후 T01·T11은 삭제됐으나 T12(C02, #52014)에 JY-C01-DELETE-MARKER-ALPHA가 남음. T15(C10)는 보존. 로컬 사본 jy-doc02-copy.txt도 잔존.</x:t>
  </x:si>
  <x:si>
    <x:t>5680E5263C36D398EAD884FB6810BE17781CE622346FCC62D40126C0EC72C783</x:t>
  </x:si>
  <x:si>
    <x:t>733293C02E65F593DDDAB16B6CE7505BB7E843CD20A67042C7CE1B031F527338</x:t>
  </x:si>
  <x:si>
    <x:t>0C0B19D3EE6090021B8CB62A1129825C6D7F04747DF185C9D922FBAFC1AC7314</x:t>
  </x:si>
  <x:si>
    <x:t>47F8F8473CDF75BEA008F2A673430AC2601E154AADA4F4988196BA1E8C2BB2C6</x:t>
  </x:si>
  <x:si>
    <x:t>S06(maint@vendor.example.test)이 T11 Restricted 상시 열람. 개선 후 그룹 없음.</x:t>
  </x:si>
  <x:si>
    <x:t>3BA3ED20A657A2AC4CB8336F3474531F7F997301E7DDFC9765A01FC75CA14C3C</x:t>
  </x:si>
  <x:si>
    <x:t>E59E461108AFCA1876D9391731187A1EFBA1F1073BF3789FB0D7168A6E801C54</x:t>
  </x:si>
  <x:si>
    <x:t>11ECA98BE3060702DA44A8DB353F0F54A57DEFDA2C15DB308E3E1D54CB04957D</x:t>
  </x:si>
  <x:si>
    <x:t>FB3A3D9489EA34B8592BA30C29235561AD6791B0C64211733A875DDE32F67882</x:t>
  </x:si>
  <x:si>
    <x:t>D94F7CB9CF1191F79A34DF5C13061239AA5FDB0F884ADA71483C7743C69F023F</x:t>
  </x:si>
  <x:si>
    <x:t>C:\JY-Lab\private-evidence\after\E-F01-A01-S05-login-blocked.png</x:t>
  </x:si>
  <x:si>
    <x:t>BB5D1CB3C45C6BF486506FA5D6E539C02502BD080D5AF54B8D7E3CD9509C932C</x:t>
  </x:si>
  <x:si>
    <x:t>E0E8F4B36B38F969BA39BD63E96D07343D0886F253C5982F5560C648B3860A68</x:t>
  </x:si>
  <x:si>
    <x:t>docs/scope.md.txt와 localhost:8080 대조. 3조직 1시스템, 결제·배송·마케팅·백업 실측 제외.</x:t>
  </x:si>
  <x:si>
    <x:t>56F7E61008C2ED480A37A9499F4B2F20125BBE7DBD53E81ECBF5569B653FDD1C</x:t>
  </x:si>
  <x:si>
    <x:t>A1A72FAC7D94227E05261979A13A2E1DE81BF2B6800901B0492AD8EBADEF8A79</x:t>
  </x:si>
  <x:si>
    <x:t>삭제 미리보기와 completed 상태를 구분. T12 추가 삭제는 종료 조건이 아님. T15 보존은 시험 대조군.</x:t>
  </x:si>
  <x:si>
    <x:t>820E8D35E734B01665B54B1F9F22E9809B25C1F1F24907C3A204BCE2A4F72B9C</x:t>
  </x:si>
  <x:si>
    <x:t>docs/client-before/02-privacy-policy.md.txt는 보유·위탁·권리가 초기 미흡 설정.</x:t>
  </x:si>
  <x:si>
    <x:t>0C878A3FBCDEA9D5D7DD5EA3E1A3B3964E5040CFCE49F4460F976EAB10ECDD23</x:t>
  </x:si>
  <x:si>
    <x:t>논리흐름 PDF. 
화면 캡처가 아니라 가공하지 않음. 
2026-10-14 보완 시점 계산. 
이전 해시 기록 없음</x:t>
  </x:si>
  <x:si>
    <x:t>5B576280C64B3E30B77034CBE4A37E40DDBB166FBFF2BEAF33FDE7DC3708A553</x:t>
  </x:si>
  <x:si>
    <x:t>FAA8108FED50C17353C0080469ED989642BFD90EB35FB4745E53F1DE1481EDCB</x:t>
  </x:si>
  <x:si>
    <x:t>24AA3EBEAE227353E9DE1E545987A30F133F1B814DE7AA09F34037563644AC50</x:t>
  </x:si>
  <x:si>
    <x:t>6F0BA336B53F81FBF7DA509798B8219F726C4E4B421E22772CF92A7514053C2B</x:t>
  </x:si>
  <x:si>
    <x:t>DFBD99CD39F5B3F0B3068EEC58EEA47E1473413DDD72AB44F0FA6379AAD8DA2E</x:t>
  </x:si>
  <x:si>
    <x:t>7274BB1E848D671E25C2CA7FCCAE4DD74922A7DF73A6A883C3EEBD4F006B8B0C</x:t>
  </x:si>
  <x:si>
    <x:t>E6B1424A80D6A20581D38278D80D12CBCA3225DB4B9AC67A61526582624B9B46</x:t>
  </x:si>
  <x:si>
    <x:t>1EE5DD42AF94A4A38EB62827DF3B659AA84E88AEAFA85334F5D618F8FFAB0224</x:t>
  </x:si>
  <x:si>
    <x:t>docs/interview.md.txt에 발급·종료·파기 역할 질문. 시스템 Admin은 S01, 문서상 책임은 S02.</x:t>
  </x:si>
  <x:si>
    <x:t>계정 비활성과 그룹 회수. PC 사본은 삭제 버튼으로 지워지지 않음. 절차 미완료</x:t>
  </x:si>
  <x:si>
    <x:t>가릴 항목 없음. 화면은 [T02] Ticket#52020. S05 글자는 없음</x:t>
  </x:si>
  <x:si>
    <x:t>조직 JY-Lab-Customers Shared Organization=Yes.</x:t>
  </x:si>
  <x:si>
    <x:t>USB·DLP 미실시. samples 원본과 별개의 다운로드 사본. T12는 미삭제.</x:t>
  </x:si>
  <x:si>
    <x:t>T12는 증적 유지를 위해 삭제하지 않음. 사본은 E-D03-A01. 백업은 미확인.</x:t>
  </x:si>
  <x:si>
    <x:t>정보보호 및 개인정보보호 관리체계(ISMS-P) 인증기준 안내서(2023.11)</x:t>
  </x:si>
  <x:si>
    <x:t>토큰없음. 
2026-10-14 보완 시점 계산. 
2026-10-12 해시와 같음</x:t>
  </x:si>
  <x:si>
    <x:t>C:\JY-Lab\private-evidence\ENV-01-version.txt</x:t>
  </x:si>
  <x:si>
    <x:t>C01 삭제 후 다운로드. 2026-10-07 09:34, 44바이트. Git 제외</x:t>
  </x:si>
  <x:si>
    <x:t>토큰없음. 2026-10-14 보완 시점 계산. 2026-10-12 해시와 같음</x:t>
  </x:si>
  <x:si>
    <x:t>가릴 항목 없음. [T02] Ticket#52003. F-01의 #52020과 다름</x:t>
  </x:si>
  <x:si>
    <x:t>C:\JY-Lab\private-evidence\before\E-F02-B03-C02-sees-T01.png</x:t>
  </x:si>
  <x:si>
    <x:t>원본 JSON은 공개하지 않음. 직원ID와 active만 요약. 바뀐 값은 S05뿐. true에서 false.</x:t>
  </x:si>
  <x:si>
    <x:t>C:\JY-Lab\private-evidence\after\E-F02-A01-S04-T11-denied.png</x:t>
  </x:si>
  <x:si>
    <x:t>C:\JY-Lab\private-evidence\after\E-F03-A02-T15-preserved.png</x:t>
  </x:si>
  <x:si>
    <x:t>가릴 항목 없음. 미리보기 #52002 #52013 #52018 #52028. #52018 그룹은 Users</x:t>
  </x:si>
  <x:si>
    <x:t>05-retention.md.txt·Processing 보유가 '필요할 때까지'로 모호. 기간·방법 불명확.</x:t>
  </x:si>
  <x:si>
    <x:t>C:\JY-Lab\private-evidence\before\E-F01-B01-S05-active-T02.png</x:t>
  </x:si>
  <x:si>
    <x:t>https://www.law.go.kr/admRulLsInfoP.do?admRulId=73493&amp;efYd=0</x:t>
  </x:si>
  <x:si>
    <x:t>01·03 문서에 Retail 목적, Service 상담, Vendor 유지보수는 있으나 제공·위탁 구분이 빈약.</x:t>
  </x:si>
  <x:si>
    <x:t>고객 본인 목록은 유지되고 타인 목록은 비공유. 재점검 R-02b는 적합. 후 목록에는 T02 #52020, #52003과 T12 #52029, #52014가 같이 있음.</x:t>
  </x:si>
  <x:si>
    <x:t>미리보기 4건은 T01 #52002, T11 #52013, T01 #52018, T11 #52028. #52018 그룹은 Users. 별칭은 E-F03-B01로 연결.</x:t>
  </x:si>
  <x:si>
    <x:t>https://pipc.go.kr/np/cop/bbs/selectBoardArticle.do?bbsId=BS217&amp;mCode=D010030000&amp;nttId=12018</x:t>
  </x:si>
  <x:si>
    <x:t>C01 삭제 후 T12(id=14,#52014)에 JY-C01-DELETE-MARKER-ALPHA 잔존. T15 보존. 로컬 사본 jy-doc02-copy.txt 잔존.</x:t>
  </x:si>
  <x:si>
    <x:t>데이터흐름</x:t>
  </x:si>
  <x:si>
    <x:t>Zammad</x:t>
  </x:si>
  <x:si>
    <x:t>가공내용</x:t>
  </x:si>
  <x:si>
    <x:t>SC-02</x:t>
  </x:si>
  <x:si>
    <x:t>A-03</x:t>
  </x:si>
  <x:si>
    <x:t>A-04</x:t>
  </x:si>
  <x:si>
    <x:t>참조유형</x:t>
  </x:si>
  <x:si>
    <x:t>시간근거</x:t>
  </x:si>
  <x:si>
    <x:t>A-01</x:t>
  </x:si>
  <x:si>
    <x:t>행동이 구체적</x:t>
  </x:si>
  <x:si>
    <x:t>SC-03</x:t>
  </x:si>
  <x:si>
    <x:t>점검ID</x:t>
  </x:si>
  <x:si>
    <x:t>관측결과</x:t>
  </x:si>
  <x:si>
    <x:t>S-L06</x:t>
  </x:si>
  <x:si>
    <x:t>포함여부</x:t>
  </x:si>
  <x:si>
    <x:t>자산ID</x:t>
  </x:si>
  <x:si>
    <x:t>R-02a</x:t>
  </x:si>
  <x:si>
    <x:t>법령버전</x:t>
  </x:si>
  <x:si>
    <x:t>SC-05</x:t>
  </x:si>
  <x:si>
    <x:t>제외사유</x:t>
  </x:si>
  <x:si>
    <x:t>실측만 판정</x:t>
  </x:si>
  <x:si>
    <x:t>위치와 파기</x:t>
  </x:si>
  <x:si>
    <x:t>업무ID</x:t>
  </x:si>
  <x:si>
    <x:t>개인정보위</x:t>
  </x:si>
  <x:si>
    <x:t>AI검토</x:t>
  </x:si>
  <x:si>
    <x:t>백업연계</x:t>
  </x:si>
  <x:si>
    <x:t>수탁감독</x:t>
  </x:si>
  <x:si>
    <x:t>F-03</x:t>
  </x:si>
  <x:si>
    <x:t>SC-04</x:t>
  </x:si>
  <x:si>
    <x:t>위탁제3자</x:t>
  </x:si>
  <x:si>
    <x:t>S-L03</x:t>
  </x:si>
  <x:si>
    <x:t>비용가정</x:t>
  </x:si>
  <x:si>
    <x:t>유지보수</x:t>
  </x:si>
  <x:si>
    <x:t>참조잔존</x:t>
  </x:si>
  <x:si>
    <x:t>화면증적</x:t>
  </x:si>
  <x:si>
    <x:t>보유파기</x:t>
  </x:si>
  <x:si>
    <x:t>처리방침</x:t>
  </x:si>
  <x:si>
    <x:t>공개제외</x:t>
  </x:si>
  <x:si>
    <x:t>기대결과</x:t>
  </x:si>
  <x:si>
    <x:t>연결점검</x:t>
  </x:si>
  <x:si>
    <x:t>종료계정</x:t>
  </x:si>
  <x:si>
    <x:t>CT-F02</x:t>
  </x:si>
  <x:si>
    <x:t>SC-01</x:t>
  </x:si>
  <x:si>
    <x:t>F-02a</x:t>
  </x:si>
  <x:si>
    <x:t>ISO/IEC</x:t>
  </x:si>
  <x:si>
    <x:t>적용 제외</x:t>
  </x:si>
  <x:si>
    <x:t>CT-F03</x:t>
  </x:si>
  <x:si>
    <x:t>ENV-01</x:t>
  </x:si>
  <x:si>
    <x:t>합성 계정</x:t>
  </x:si>
  <x:si>
    <x:t>R-02b</x:t>
  </x:si>
  <x:si>
    <x:t>이행재점검</x:t>
  </x:si>
  <x:si>
    <x:t>DF-01</x:t>
  </x:si>
  <x:si>
    <x:t>SHA256</x:t>
  </x:si>
  <x:si>
    <x:t>F-01</x:t>
  </x:si>
  <x:si>
    <x:t>A-02b</x:t>
  </x:si>
  <x:si>
    <x:t>근본조치</x:t>
  </x:si>
  <x:si>
    <x:t>시스템 베이스</x:t>
  </x:si>
  <x:si>
    <x:t>최소권한</x:t>
  </x:si>
  <x:si>
    <x:t>필요 범위만</x:t>
  </x:si>
  <x:si>
    <x:t>수집시각</x:t>
  </x:si>
  <x:si>
    <x:t>기술참고</x:t>
  </x:si>
  <x:si>
    <x:t>본문 미확인</x:t>
  </x:si>
  <x:si>
    <x:t>상담 수행</x:t>
  </x:si>
  <x:si>
    <x:t>목적항목</x:t>
  </x:si>
  <x:si>
    <x:t>다운로드</x:t>
  </x:si>
  <x:si>
    <x:t>증적품질</x:t>
  </x:si>
  <x:si>
    <x:t>원문 시행일</x:t>
  </x:si>
  <x:si>
    <x:t>개선ID</x:t>
  </x:si>
  <x:si>
    <x:t>R-01</x:t>
  </x:si>
  <x:si>
    <x:t>판정조건</x:t>
  </x:si>
  <x:si>
    <x:t>세 조직 목적</x:t>
  </x:si>
  <x:si>
    <x:t>계정발급</x:t>
  </x:si>
  <x:si>
    <x:t>자체통제ID</x:t>
  </x:si>
  <x:si>
    <x:t>요구사항</x:t>
  </x:si>
  <x:si>
    <x:t>실제확인</x:t>
  </x:si>
  <x:si>
    <x:t>처리항목</x:t>
  </x:si>
  <x:si>
    <x:t>문서유형</x:t>
  </x:si>
  <x:si>
    <x:t>적용여부</x:t>
  </x:si>
  <x:si>
    <x:t>S-L01</x:t>
  </x:si>
  <x:si>
    <x:t>ENV-02</x:t>
  </x:si>
  <x:si>
    <x:t>직원ID</x:t>
  </x:si>
  <x:si>
    <x:t>S-L04</x:t>
  </x:si>
  <x:si>
    <x:t>작성지침</x:t>
  </x:si>
  <x:si>
    <x:t>ENV-01b</x:t>
  </x:si>
  <x:si>
    <x:t>Agent</x:t>
  </x:si>
  <x:si>
    <x:t>합성 txt</x:t>
  </x:si>
  <x:si>
    <x:t>A-02</x:t>
  </x:si>
  <x:si>
    <x:t>시스템 접속</x:t>
  </x:si>
  <x:si>
    <x:t>제한상담</x:t>
  </x:si>
  <x:si>
    <x:t>수집자역할</x:t>
  </x:si>
  <x:si>
    <x:t>2023.11</x:t>
  </x:si>
  <x:si>
    <x:t>P-02</x:t>
  </x:si>
  <x:si>
    <x:t>항목별 목적</x:t>
  </x:si>
  <x:si>
    <x:t>대통령령</x:t>
  </x:si>
  <x:si>
    <x:t>R-03</x:t>
  </x:si>
  <x:si>
    <x:t>A-02a</x:t>
  </x:si>
  <x:si>
    <x:t>정상업무</x:t>
  </x:si>
  <x:si>
    <x:t>종료 후 차단</x:t>
  </x:si>
  <x:si>
    <x:t>고객공유</x:t>
  </x:si>
  <x:si>
    <x:t>필요 시만</x:t>
  </x:si>
  <x:si>
    <x:t>잔여위험</x:t>
  </x:si>
  <x:si>
    <x:t>직원6 명부</x:t>
  </x:si>
  <x:si>
    <x:t>교육검토</x:t>
  </x:si>
  <x:si>
    <x:t>법령항호</x:t>
  </x:si>
  <x:si>
    <x:t>즉시조치</x:t>
  </x:si>
  <x:si>
    <x:t>공개경로</x:t>
  </x:si>
  <x:si>
    <x:t>관련조항</x:t>
  </x:si>
  <x:si>
    <x:t>S-L07</x:t>
  </x:si>
  <x:si>
    <x:t>경로와 소유자</x:t>
  </x:si>
  <x:si>
    <x:t>백업 질문</x:t>
  </x:si>
  <x:si>
    <x:t>티켓첨부</x:t>
  </x:si>
  <x:si>
    <x:t>증적ID</x:t>
  </x:si>
  <x:si>
    <x:t>우선순위</x:t>
  </x:si>
  <x:si>
    <x:t>F-02b</x:t>
  </x:si>
  <x:si>
    <x:t>상품문의 상담</x:t>
  </x:si>
  <x:si>
    <x:t>재직상태</x:t>
  </x:si>
  <x:si>
    <x:t>종료조건</x:t>
  </x:si>
  <x:si>
    <x:t>보존사유</x:t>
  </x:si>
  <x:si>
    <x:t>파기방법·책임</x:t>
  </x:si>
  <x:si>
    <x:t>수행자 로컬</x:t>
  </x:si>
  <x:si>
    <x:t>P-04</x:t>
  </x:si>
  <x:si>
    <x:t>P-01</x:t>
  </x:si>
  <x:si>
    <x:t>Admin</x:t>
  </x:si>
  <x:si>
    <x:t>S-L05</x:t>
  </x:si>
  <x:si>
    <x:t>원본경로</x:t>
  </x:si>
  <x:si>
    <x:t>발견ID</x:t>
  </x:si>
  <x:si>
    <x:t>재점검ID</x:t>
  </x:si>
  <x:si>
    <x:t>국제표준</x:t>
  </x:si>
  <x:si>
    <x:t>파기 범위</x:t>
  </x:si>
  <x:si>
    <x:t>범위ID</x:t>
  </x:si>
  <x:si>
    <x:t>동일 인스턴스</x:t>
  </x:si>
  <x:si>
    <x:t>P-03</x:t>
  </x:si>
  <x:si>
    <x:t>사고대응</x:t>
  </x:si>
  <x:si>
    <x:t>상담시스템</x:t>
  </x:si>
  <x:si>
    <x:t>저장위치</x:t>
  </x:si>
  <x:si>
    <x:t>S-L02</x:t>
  </x:si>
  <x:si>
    <x:t>CT-F01</x:t>
  </x:si>
  <x:si>
    <x:t>위험점수</x:t>
  </x:si>
  <x:si>
    <x:t>사용자삭제</x:t>
  </x:si>
  <x:si>
    <x:t>공포발표일</x:t>
  </x:si>
  <x:si>
    <x:t>출처ID</x:t>
  </x:si>
  <x:si>
    <x:t>화면확인</x:t>
  </x:si>
  <x:si>
    <x:t>다운로드 사본</x:t>
  </x:si>
  <x:si>
    <x:t>도상훈련</x:t>
  </x:si>
  <x:si>
    <x:t>S04 Restricted read, S06 Restricted read. 최소권한 미적용.</x:t>
  </x:si>
  <x:si>
    <x:t>06-incident.md.txt에 사고 양식·담당·통지 근거 없음. 도상훈련 미실시.</x:t>
  </x:si>
  <x:si>
    <x:t>C:\JY-Lab\private-evidence\before\users-before.json</x:t>
  </x:si>
  <x:si>
    <x:t>C:\JY-Lab\private-evidence\ENV-01-system-base.png</x:t>
  </x:si>
  <x:si>
    <x:t>T15(id=17,#52017)와 jy-doc03.txt 보존. 증적 E-F03-A02</x:t>
  </x:si>
  <x:si>
    <x:t>가릴 항목 없음. [T12] #52014, JY-Restricted, jy-doc02.txt</x:t>
  </x:si>
  <x:si>
    <x:t>가릴 항목 없음. [T15] #52017, JY-General, jy-doc03.txt</x:t>
  </x:si>
  <x:si>
    <x:t>S04가 T02(id=3, Ticket#52003) 열람 가능. 증적 E-F02-A02</x:t>
  </x:si>
  <x:si>
    <x:t>C:\JY-Lab\private-evidence\after\users-diff.json</x:t>
  </x:si>
  <x:si>
    <x:t>C:\JY-Lab\private-evidence\ENV-02-local-port.txt</x:t>
  </x:si>
  <x:si>
    <x:t>가릴 항목 없음. 내 조직 티켓에 [T01] #52018과 #52002. C02 글자는 없음</x:t>
  </x:si>
  <x:si>
    <x:t>C:\JY-Lab\private-evidence\after\jy-doc02-copy.txt</x:t>
  </x:si>
  <x:si>
    <x:t>재점검은 Retest R-01. Sessions 기존 세션 회수·복원·감사로그는 미확인.</x:t>
  </x:si>
  <x:si>
    <x:t>삭제 버튼만으로 끝나지 않음. 참조, 첨부, 사본, 백업은 따로. 실행 S01, 확인 S02</x:t>
  </x:si>
  <x:si>
    <x:t>직원 6명의 active 요약은 users-active.csv. 이메일은 공개 요약에 없음.</x:t>
  </x:si>
  <x:si>
    <x:t>T12 #52014 마커와 첨부, 로컬 사본이 남음. 영향 3은 삭제 요청 정보의 잔존.</x:t>
  </x:si>
  <x:si>
    <x:t>도상훈련 표는 2026-10-15에 채우지 않음. Incident 시트는 제목만 있음.</x:t>
  </x:si>
  <x:si>
    <x:t>계정 회수 지연 의심</x:t>
  </x:si>
  <x:si>
    <x:t>컨설턴트/S02</x:t>
  </x:si>
  <x:si>
    <x:t>기존 Sessions</x:t>
  </x:si>
  <x:si>
    <x:t>실제 무단유출 여부</x:t>
  </x:si>
  <x:si>
    <x:t>계정 차단 필요</x:t>
  </x:si>
  <x:si>
    <x:t>사실·시각 기록</x:t>
  </x:si>
  <x:si>
    <x:t>모의 T+15분</x:t>
  </x:si>
  <x:si>
    <x:t>추가 접근 차단 우선</x:t>
  </x:si>
  <x:si>
    <x:t>모의 T+30분</x:t>
  </x:si>
  <x:si>
    <x:t>감사로그·외부 토큰</x:t>
  </x:si>
  <x:si>
    <x:t>영향 범위 확인</x:t>
  </x:si>
  <x:si>
    <x:t>모의 T+60분</x:t>
  </x:si>
  <x:si>
    <x:t>docs/16-*</x:t>
  </x:si>
  <x:si>
    <x:t>실제 법률 판단</x:t>
  </x:si>
  <x:si>
    <x:t>Evidence</x:t>
  </x:si>
  <x:si>
    <x:t>적용 제외 유지</x:t>
  </x:si>
  <x:si>
    <x:t>scope.md</x:t>
  </x:si>
  <x:si>
    <x:t>JY Retail</x:t>
  </x:si>
  <x:si>
    <x:t>JY Service</x:t>
  </x:si>
  <x:si>
    <x:t>계정·권한·접근통제</x:t>
  </x:si>
  <x:si>
    <x:t>이번 진단 범위 밖</x:t>
  </x:si>
  <x:si>
    <x:t>위탁·파기·통지 세부</x:t>
  </x:si>
  <x:si>
    <x:t>최소권한·고객 비공유</x:t>
  </x:si>
  <x:si>
    <x:t>T15 삭제 후 보존</x:t>
  </x:si>
  <x:si>
    <x:t>상담 목적 결정</x:t>
  </x:si>
  <x:si>
    <x:t>E-F02-B02</x:t>
  </x:si>
  <x:si>
    <x:t>제15조 원문검토</x:t>
  </x:si>
  <x:si>
    <x:t>개인정보 보호법</x:t>
  </x:si>
  <x:si>
    <x:t>결제·배송·마케팅</x:t>
  </x:si>
  <x:si>
    <x:t>계약종료 계정 회수</x:t>
  </x:si>
  <x:si>
    <x:t>백업 복구 실측</x:t>
  </x:si>
  <x:si>
    <x:t>실제Active</x:t>
  </x:si>
  <x:si>
    <x:t>결론 범위 추적</x:t>
  </x:si>
  <x:si>
    <x:t>JY Vendor</x:t>
  </x:si>
  <x:si>
    <x:t>E-F03-A02</x:t>
  </x:si>
  <x:si>
    <x:t>2026-10-15</x:t>
  </x:si>
  <x:si>
    <x:t>가상 Retail</x:t>
  </x:si>
  <x:si>
    <x:t>E-F02-A01</x:t>
  </x:si>
  <x:si>
    <x:t>ISMS-P항목</x:t>
  </x:si>
  <x:si>
    <x:t>S05 로그인 차단</x:t>
  </x:si>
  <x:si>
    <x:t>T12 표식·첨부</x:t>
  </x:si>
  <x:si>
    <x:t>국가법령정보센터</x:t>
  </x:si>
  <x:si>
    <x:t>T01 T12 T15</x:t>
  </x:si>
  <x:si>
    <x:t>E-F02-A02</x:t>
  </x:si>
  <x:si>
    <x:t>해시·명부·시각</x:t>
  </x:si>
  <x:si>
    <x:t>S04 T02 유지</x:t>
  </x:si>
  <x:si>
    <x:t>InPrivate</x:t>
  </x:si>
  <x:si>
    <x:t>대조 티켓 보존</x:t>
  </x:si>
  <x:si>
    <x:t>E03, D03</x:t>
  </x:si>
  <x:si>
    <x:t>S04 T11 열람</x:t>
  </x:si>
  <x:si>
    <x:t>잔존처리+T15보존</x:t>
  </x:si>
  <x:si>
    <x:t>C03, D02</x:t>
  </x:si>
  <x:si>
    <x:t>근거·기간·위치·방법</x:t>
  </x:si>
  <x:si>
    <x:t>E-D03-A01</x:t>
  </x:si>
  <x:si>
    <x:t>C01 삭제 흐름</x:t>
  </x:si>
  <x:si>
    <x:t>compose ps</x:t>
  </x:si>
  <x:si>
    <x:t>E-F02-B03</x:t>
  </x:si>
  <x:si>
    <x:t>제26조 원문검토</x:t>
  </x:si>
  <x:si>
    <x:t>담당·근거·미확인</x:t>
  </x:si>
  <x:si>
    <x:t>F-01~03 전후</x:t>
  </x:si>
  <x:si>
    <x:t>E-F03-B03</x:t>
  </x:si>
  <x:si>
    <x:t>E-F02-B01</x:t>
  </x:si>
  <x:si>
    <x:t>티켓·첨부·백업 표시</x:t>
  </x:si>
  <x:si>
    <x:t>jy-doc 사본</x:t>
  </x:si>
  <x:si>
    <x:t>T11 id=29</x:t>
  </x:si>
  <x:si>
    <x:t>jy-doc02 사본</x:t>
  </x:si>
  <x:si>
    <x:t>Users 전후 비교</x:t>
  </x:si>
  <x:si>
    <x:t>교육1장·검토양식</x:t>
  </x:si>
  <x:si>
    <x:t>T15 대조 삭제 전</x:t>
  </x:si>
  <x:si>
    <x:t>https://www.law.go.kr/법령/개인정보보호법시행령</x:t>
  </x:si>
  <x:si>
    <x:t>evidence/sanitized/E-F03-B01.png</x:t>
  </x:si>
  <x:si>
    <x:t>자료 보안 미리보기 티켓 4건=T01·T11(52002,52013,52018,52028). 실행 후 C01·해당 티켓 삭제. T12·T15·조직 미포함.</x:t>
  </x:si>
  <x:si>
    <x:t>2026-10-14에 ENV 해시와 data-flow.pdf 해시를 기록. 2026-10-15에 공개 10장과 users-active.csv 해시를 기록.</x:t>
  </x:si>
  <x:si>
    <x:t>T12 #52014에 마커와 첨부가 남음. T15 #52017은 보존. 로컬 사본이 남음. 백업 잔존은 미확인.</x:t>
  </x:si>
  <x:si>
    <x:t>R-01, R-02a, R-02b는 적합이고 R-03은 미흡. 초기 Checks 미흡을 적합으로 덮지 않음.</x:t>
  </x:si>
  <x:si>
    <x:t>S05 active가 true에서 false. 로그인 후 캡처만으로 입력 계정을 독립 식별하기 어려움. 재점검 R-01은 적합.</x:t>
  </x:si>
  <x:si>
    <x:t>S06 차단 후 시험은 미확인. E-F02-B02는 공개 제외.</x:t>
  </x:si>
  <x:si>
    <x:t>초기 집계는 Checks에만 둔다. 이 시트와 합산하지 않음.</x:t>
  </x:si>
  <x:si>
    <x:t>2.5.1 사용자 계정 관리(87쪽). 2.5.6 접근권한 검토는 정기 검토와 3년 기록을 요구하나 이번 실습에서 수행하지 않음. 인증심사 아님.</x:t>
  </x:si>
  <x:si>
    <x:t>S04 권한 없음 화면과 T02 #52003 정상업무 화면을 확인. 재점검 R-02a는 적합. #52003은 F-01의 #52020과 다른 티켓.</x:t>
  </x:si>
  <x:si>
    <x:t>S05 former@service.example.test가 종료일 2026-09-14 이후에도 Active=TRUE·에이전트로 T02를 열람함.</x:t>
  </x:si>
  <x:si>
    <x:t>E-F01-B01</x:t>
  </x:si>
  <x:si>
    <x:t>E-F02-A03</x:t>
  </x:si>
  <x:si>
    <x:t>S05 T02 열람</x:t>
  </x:si>
  <x:si>
    <x:t>E-F03-B02</x:t>
  </x:si>
  <x:si>
    <x:t>T12 삭제 후 잔존</x:t>
  </x:si>
  <x:si>
    <x:t>접수확인승인실행회신</x:t>
  </x:si>
  <x:si>
    <x:t>T12 삭제 전 마커</x:t>
  </x:si>
  <x:si>
    <x:t>제26조·점검표</x:t>
  </x:si>
  <x:si>
    <x:t>인증기준 안내서</x:t>
  </x:si>
  <x:si>
    <x:t>02문서 vs 운영</x:t>
  </x:si>
  <x:si>
    <x:t>직접 기술 범위 아님</x:t>
  </x:si>
  <x:si>
    <x:t>2025 제2판</x:t>
  </x:si>
  <x:si>
    <x:t>GET JSON</x:t>
  </x:si>
  <x:si>
    <x:t>C02가 T01 열람</x:t>
  </x:si>
  <x:si>
    <x:t>2026.4. 개정</x:t>
  </x:si>
  <x:si>
    <x:t>문구와 운영 일치</x:t>
  </x:si>
  <x:si>
    <x:t>한국인터넷진흥원</x:t>
  </x:si>
  <x:si>
    <x:t>E-F01-A01</x:t>
  </x:si>
  <x:si>
    <x:t>S06 T11 열람</x:t>
  </x:si>
  <x:si>
    <x:t>법률 제21445호</x:t>
  </x:si>
  <x:si>
    <x:t>기술 상세가이드</x:t>
  </x:si>
  <x:si>
    <x:t>발급·종료·파기 역할</x:t>
  </x:si>
  <x:si>
    <x:t>가공본SHA256</x:t>
  </x:si>
  <x:si>
    <x:t>개인문의 비공유</x:t>
  </x:si>
  <x:si>
    <x:t>위탁과 제공 구분</x:t>
  </x:si>
  <x:si>
    <x:t>E-F02-A01b</x:t>
  </x:si>
  <x:si>
    <x:t>요청승인실행검증</x:t>
  </x:si>
  <x:si>
    <x:t>기한 경과/미완료</x:t>
  </x:si>
  <x:si>
    <x:t>합계</x:t>
  </x:si>
  <x:si>
    <x:t>조치</x:t>
  </x:si>
  <x:si>
    <x:t>없음</x:t>
  </x:si>
  <x:si>
    <x:t>영향</x:t>
  </x:si>
  <x:si>
    <x:t>-</x:t>
  </x:si>
  <x:si>
    <x:t>이메일</x:t>
  </x:si>
  <x:si>
    <x:t>C02</x:t>
  </x:si>
  <x:si>
    <x:t>미흡</x:t>
  </x:si>
  <x:si>
    <x:t>종류</x:t>
  </x:si>
  <x:si>
    <x:t>재직</x:t>
  </x:si>
  <x:si>
    <x:t>조직</x:t>
  </x:si>
  <x:si>
    <x:t>역할</x:t>
  </x:si>
  <x:si>
    <x:t>C04</x:t>
  </x:si>
  <x:si>
    <x:t>방법</x:t>
  </x:si>
  <x:si>
    <x:t>확인함</x:t>
  </x:si>
  <x:si>
    <x:t>적용</x:t>
  </x:si>
  <x:si>
    <x:t>수행자</x:t>
  </x:si>
  <x:si>
    <x:t>PDF</x:t>
  </x:si>
  <x:si>
    <x:t>소유자</x:t>
  </x:si>
  <x:si>
    <x:t>고시</x:t>
  </x:si>
  <x:si>
    <x:t>확인일</x:t>
  </x:si>
  <x:si>
    <x:t>담당자</x:t>
  </x:si>
  <x:si>
    <x:t>동일</x:t>
  </x:si>
  <x:si>
    <x:t>대상</x:t>
  </x:si>
  <x:si>
    <x:t>업무</x:t>
  </x:si>
  <x:si>
    <x:t>F04</x:t>
  </x:si>
  <x:si>
    <x:t>항목</x:t>
  </x:si>
  <x:si>
    <x:t>E03</x:t>
  </x:si>
  <x:si>
    <x:t>E04</x:t>
  </x:si>
  <x:si>
    <x:t>관리</x:t>
  </x:si>
  <x:si>
    <x:t>권리</x:t>
  </x:si>
  <x:si>
    <x:t>시행일</x:t>
  </x:si>
  <x:si>
    <x:t>S03</x:t>
  </x:si>
  <x:si>
    <x:t>기관</x:t>
  </x:si>
  <x:si>
    <x:t>미실측</x:t>
  </x:si>
  <x:si>
    <x:t>흐름</x:t>
  </x:si>
  <x:si>
    <x:t>E01</x:t>
  </x:si>
  <x:si>
    <x:t>C01</x:t>
  </x:si>
  <x:si>
    <x:t>판정</x:t>
  </x:si>
  <x:si>
    <x:t>수탁자</x:t>
  </x:si>
  <x:si>
    <x:t>원인</x:t>
  </x:si>
  <x:si>
    <x:t>백업</x:t>
  </x:si>
  <x:si>
    <x:t>S06</x:t>
  </x:si>
  <x:si>
    <x:t>상태</x:t>
  </x:si>
  <x:si>
    <x:t>D04</x:t>
  </x:si>
  <x:si>
    <x:t>중</x:t>
  </x:si>
  <x:si>
    <x:t>A01</x:t>
  </x:si>
  <x:si>
    <x:t>문서</x:t>
  </x:si>
  <x:si>
    <x:t>검수일</x:t>
  </x:si>
  <x:si>
    <x:t>범위</x:t>
  </x:si>
  <x:si>
    <x:t>외부</x:t>
  </x:si>
  <x:si>
    <x:t>D01</x:t>
  </x:si>
  <x:si>
    <x:t>S02</x:t>
  </x:si>
  <x:si>
    <x:t>화면</x:t>
  </x:si>
  <x:si>
    <x:t>위치</x:t>
  </x:si>
  <x:si>
    <x:t>F02</x:t>
  </x:si>
  <x:si>
    <x:t>높음</x:t>
  </x:si>
  <x:si>
    <x:t>전증적</x:t>
  </x:si>
  <x:si>
    <x:t>D03</x:t>
  </x:si>
  <x:si>
    <x:t>B03</x:t>
  </x:si>
  <x:si>
    <x:t>목적</x:t>
  </x:si>
  <x:si>
    <x:t>F01</x:t>
  </x:si>
  <x:si>
    <x:t>미확인</x:t>
  </x:si>
  <x:si>
    <x:t>책임</x:t>
  </x:si>
  <x:si>
    <x:t>S04</x:t>
  </x:si>
  <x:si>
    <x:t>B01</x:t>
  </x:si>
  <x:si>
    <x:t>제외</x:t>
  </x:si>
  <x:si>
    <x:t>종료</x:t>
  </x:si>
  <x:si>
    <x:t>종료일</x:t>
  </x:si>
  <x:si>
    <x:t>포함</x:t>
  </x:si>
  <x:si>
    <x:t>S05</x:t>
  </x:si>
  <x:si>
    <x:t>완료</x:t>
  </x:si>
  <x:si>
    <x:t>근거</x:t>
  </x:si>
  <x:si>
    <x:t>그룹</x:t>
  </x:si>
  <x:si>
    <x:t>기한</x:t>
  </x:si>
  <x:si>
    <x:t>C03</x:t>
  </x:si>
  <x:si>
    <x:t>제목</x:t>
  </x:si>
  <x:si>
    <x:t>사실</x:t>
  </x:si>
  <x:si>
    <x:t>적합</x:t>
  </x:si>
  <x:si>
    <x:t>B02</x:t>
  </x:si>
  <x:si>
    <x:t>승인자</x:t>
  </x:si>
  <x:si>
    <x:t>S01</x:t>
  </x:si>
  <x:si>
    <x:t>후증적</x:t>
  </x:si>
  <x:si>
    <x:t>개정판</x:t>
  </x:si>
  <x:si>
    <x:t>A02</x:t>
  </x:si>
  <x:si>
    <x:t>A04</x:t>
  </x:si>
  <x:si>
    <x:t>D02</x:t>
  </x:si>
  <x:si>
    <x:t>F03</x:t>
  </x:si>
  <x:si>
    <x:t>A03</x:t>
  </x:si>
  <x:si>
    <x:t>제약</x:t>
  </x:si>
  <x:si>
    <x:t>E02</x:t>
  </x:si>
  <x:si>
    <x:t>URL</x:t>
  </x:si>
  <x:si>
    <x:t>B04</x:t>
  </x:si>
  <x:si>
    <x:t>파일</x:t>
  </x:si>
  <x:si>
    <x:t>인프라</x:t>
  </x:si>
  <x:si>
    <x:t>예외</x:t>
  </x:si>
  <x:si>
    <x:t>시스템</x:t>
  </x:si>
  <x:si>
    <x:t>상</x:t>
  </x:si>
  <x:si>
    <x:t>법률</x:t>
  </x:si>
  <x:si>
    <x:t>중요도</x:t>
  </x:si>
  <x:si>
    <x:t>기산점</x:t>
  </x:si>
  <x:si>
    <x:t>한계</x:t>
  </x:si>
  <x:si>
    <x:t>기준일</x:t>
  </x:si>
  <x:si>
    <x:t>판단</x:t>
  </x:si>
  <x:si>
    <x:t>파기 시 참조 티켓·첨부·다운로드 사본·백업을 검색해 별도 파기.</x:t>
  </x:si>
  <x:si>
    <x:t>가릴 항목 없음. 로그인 실패 문구만 보임. 계정 칸은 비어 있음</x:t>
  </x:si>
  <x:si>
    <x:t>2026-10-14 보완 시점 계산. 
2026-10-12 해시와 같음</x:t>
  </x:si>
  <x:si>
    <x:t>재점검은 Retest R-02b. 사본은 D03. 백업은 미확인.</x:t>
  </x:si>
  <x:si>
    <x:t>https://www.iso.org/standard/85819.html</x:t>
  </x:si>
  <x:si>
    <x:t>법 제29조, 영 제30조 제1항 제2호, 법 제26조 제4항·제5항</x:t>
  </x:si>
  <x:si>
    <x:t>docs/data-flow.pdf에 티켓·첨부·백업(점선) 경로 표시.</x:t>
  </x:si>
  <x:si>
    <x:t>가상 명부. S01~S03 증적ID는 Evidence에 없어 미확인.</x:t>
  </x:si>
  <x:si>
    <x:t>역할별 그룹 권한 점검. S03 Restricted full은 유지.</x:t>
  </x:si>
  <x:si>
    <x:t>03-outsourcing.md.txt에 계약·점검표·연간실적 없음.</x:t>
  </x:si>
  <x:si>
    <x:t>docs/interview.md.txt</x:t>
  </x:si>
  <x:si>
    <x:t>E-F01-B01, E-F01-A01</x:t>
  </x:si>
  <x:si>
    <x:t>임의 연수 기재 금지. 원문 대조만.</x:t>
  </x:si>
  <x:si>
    <x:t>T15 id=17 number=52017</x:t>
  </x:si>
  <x:si>
    <x:t>모의와 실제 구별. 범위 문서 기준.</x:t>
  </x:si>
  <x:si>
    <x:t>공격시험 안 함. 16.3 해당 시 별도.</x:t>
  </x:si>
  <x:si>
    <x:t>처리방침 항목. 작성지침이라 시행일 없음.</x:t>
  </x:si>
  <x:si>
    <x:t>목적별 세분 고지는 티켓 양식에 없음.</x:t>
  </x:si>
  <x:si>
    <x:t>admin@jy.example.test</x:t>
  </x:si>
  <x:si>
    <x:t>T11 id=29 number=52028</x:t>
  </x:si>
  <x:si>
    <x:t>수탁 감독 실적은 문서상 확인 불가.</x:t>
  </x:si>
  <x:si>
    <x:t>T12 id=14 number=52014</x:t>
  </x:si>
  <x:si>
    <x:t>T02 id=3 number=52003</x:t>
  </x:si>
  <x:si>
    <x:t>개인정보보호위원회고시 제2026-9호</x:t>
  </x:si>
  <x:si>
    <x:t>S04 T11 권한 없음(T02 탭 포함)</x:t>
  </x:si>
  <x:si>
    <x:t>03-outsourcing.md.txt</x:t>
  </x:si>
  <x:si>
    <x:t>토큰 미저장. .example.test만</x:t>
  </x:si>
  <x:si>
    <x:t>2026-09-26 15:40:14 KST</x:t>
  </x:si>
  <x:si>
    <x:t>퇴직 상담원이 일반상담 티켓에 접근 가능.</x:t>
  </x:si>
  <x:si>
    <x:t>2026-10-06 10:54:56 KST</x:t>
  </x:si>
  <x:si>
    <x:t>T01·T11 4건. T12·T15 없음</x:t>
  </x:si>
  <x:si>
    <x:t>http://localhost:8080</x:t>
  </x:si>
  <x:si>
    <x:t>공개 제외. 기본 공개 10장이 아님</x:t>
  </x:si>
  <x:si>
    <x:t>Zammad localhost:8080</x:t>
  </x:si>
  <x:si>
    <x:t>E-F02-B01, E-F02-B02</x:t>
  </x:si>
  <x:si>
    <x:t>E-F02-B03, E-F02-A03</x:t>
  </x:si>
  <x:si>
    <x:t>General+Restricted full</x:t>
  </x:si>
  <x:si>
    <x:t>privacy@jy.example.test</x:t>
  </x:si>
  <x:si>
    <x:t>초기 미흡 유지. A-02b 상태는 완료</x:t>
  </x:si>
  <x:si>
    <x:t>초기 미흡 유지. A-01 상태는 완료</x:t>
  </x:si>
  <x:si>
    <x:t>초기 미흡 유지. A-02a 상태는 완료</x:t>
  </x:si>
  <x:si>
    <x:t>Zammad의 T12. Git 밖 사본</x:t>
  </x:si>
  <x:si>
    <x:t>초기 적합 유지. 실제 서명은 미확인</x:t>
  </x:si>
  <x:si>
    <x:t>임의 연수를 적지 않음. 원문 대조만.</x:t>
  </x:si>
  <x:si>
    <x:t>필요 시 한시 권한 절차는 문서에 없음.</x:t>
  </x:si>
  <x:si>
    <x:t>미흡 유지. A-03은 기한 경과/미완료</x:t>
  </x:si>
  <x:si>
    <x:t>외부 AI 요약도구는 연결하지 않음.</x:t>
  </x:si>
  <x:si>
    <x:t>초기 적합 유지. 판정 칸은 바꾸지 않음</x:t>
  </x:si>
  <x:si>
    <x:t>EX-03. T15는 EX-04이며 파기 대상 아님</x:t>
  </x:si>
  <x:si>
    <x:t>S05 Active=false. 로그인 차단 확인.</x:t>
  </x:si>
  <x:si>
    <x:t>E-F02-B01, E-F02-A01, E-F02-A02</x:t>
  </x:si>
  <x:si>
    <x:t>tickets.csv, control-notes.md</x:t>
  </x:si>
  <x:si>
    <x:t>공개 제외. S06 화면. 기본 공개는 S04 세 장</x:t>
  </x:si>
  <x:si>
    <x:t>공개 제외. T15 삭제 전. 보존은 E-F03-A02</x:t>
  </x:si>
  <x:si>
    <x:t>공개 제외. 환경 텍스트. 기본 공개 10장이 아님</x:t>
  </x:si>
  <x:si>
    <x:t>다른 활성 계정(AJ·SA) 로그인·T02 열람 가능</x:t>
  </x:si>
  <x:si>
    <x:t>사용자 본인 티켓 삭제 범위만. 참조 잔존은 E03.</x:t>
  </x:si>
  <x:si>
    <x:t>실제 발송 없음. 권리 절차 문서는 초기자료에 없음.</x:t>
  </x:si>
  <x:si>
    <x:t>JY-General full (Restricted 회수)</x:t>
  </x:si>
  <x:si>
    <x:t>E-F03-B02, E-F03-A01, E-F03-A02</x:t>
  </x:si>
  <x:si>
    <x:t>공개 제외. T12 삭제 전. 잔존은 E-F03-A01</x:t>
  </x:si>
  <x:si>
    <x:t>S04 Restricted 불가·고객 상호열람 불가</x:t>
  </x:si>
  <x:si>
    <x:t>가릴 항목 없음. 권한 없음. 티켓 번호는 화면에 없음</x:t>
  </x:si>
  <x:si>
    <x:t>users-before.json, E-F01-B01</x:t>
  </x:si>
  <x:si>
    <x:t>C01·T01·T11 삭제 후 T12 표식·사본 처리</x:t>
  </x:si>
  <x:si>
    <x:t>답변 후 추가 문의가 없는 상태. 운영 확인은 하지 않음</x:t>
  </x:si>
  <x:si>
    <x:t>유지보수 작업이 끝난 때. 한시 권한은 실행하지 않음</x:t>
  </x:si>
  <x:si>
    <x:t>수집일 칸은 2026-10-06. 00시는 시각 증명이 아님</x:t>
  </x:si>
  <x:si>
    <x:t>통지·신고 요건 별도 검토</x:t>
  </x:si>
  <x:si>
    <x:t>모의 보고 및 통지문 작성</x:t>
  </x:si>
  <x:si>
    <x:t>일반상담 T02 범위 관측</x:t>
  </x:si>
  <x:si>
    <x:t>관련 티켓·계정·사본 확인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</x:si>
</x:sst>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Malgun Gothic"/>
      <x:sz val="10"/>
      <x:color rgb="ffffffff"/>
      <x:b val="1"/>
    </x:font>
    <x:font>
      <x:name val="Malgun Gothic"/>
      <x:sz val="10"/>
      <x:color rgb="ff000000"/>
    </x:font>
    <x:font>
      <x:name val="Malgun Gothic"/>
      <x:sz val="10"/>
      <x:color rgb="ff0f6c6c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Malgun Gothic"/>
          <x:sz val="10"/>
          <x:color rgb="ff0000ff"/>
          <x:u/>
        </x:font>
      </mc:Fallback>
    </mc:AlternateContent>
    <x:font>
      <x:name val="맑은 고딕"/>
      <x:sz val="10"/>
      <x:color rgb="ff000000"/>
    </x:font>
  </x:fonts>
  <x:fills count="6">
    <x:fill>
      <x:patternFill patternType="none"/>
    </x:fill>
    <x:fill>
      <x:patternFill patternType="gray125"/>
    </x:fill>
    <x:fill>
      <x:patternFill patternType="solid">
        <x:fgColor rgb="ff1e3a5f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dce6f2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4cbb8"/>
      </x:left>
      <x:right style="thin">
        <x:color rgb="ffd4cbb8"/>
      </x:right>
      <x:top style="thin">
        <x:color rgb="ffd4cbb8"/>
      </x:top>
      <x:bottom style="thin">
        <x:color rgb="ffd4cbb8"/>
      </x:bottom>
    </x:border>
    <x:border>
      <x:left style="thin">
        <x:color rgb="ffd4cbb8"/>
      </x:left>
      <x:right style="thin">
        <x:color rgb="ffd4cbb8"/>
      </x:right>
      <x:top style="thin">
        <x:color rgb="ffd4cbb8"/>
      </x:top>
      <x:bottom>
        <x:color auto="1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9">
    <x:xf numFmtId="0" fontId="0" fillId="0" borderId="0" xfId="1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Border="1" applyAlignment="1">
          <x:alignment horizontal="center" vertical="center" wrapText="1"/>
        </x:xf>
      </mc:Fallback>
    </mc:AlternateContent>
    <x:xf numFmtId="0" fontId="7" fillId="0" borderId="1" xfId="0" applyNumberForma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Border="1" applyAlignment="1">
          <x:alignment horizontal="center" vertical="center" wrapText="1"/>
        </x:xf>
      </mc:Fallback>
    </mc:AlternateContent>
    <x:xf numFmtId="164" fontId="7" fillId="3" borderId="1" xfId="0" applyNumberForma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4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NumberFormat="1" applyBorder="1" applyAlignment="1">
          <x:alignment horizontal="center" vertical="center" wrapText="1"/>
        </x:xf>
      </mc:Fallback>
    </mc:AlternateContent>
    <x:xf numFmtId="164" fontId="7" fillId="0" borderId="1" xfId="0" applyNumberForma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1" xfId="0" applyNumberFormat="1" applyFont="1" applyFill="1" applyBorder="1" applyAlignment="1">
      <x:alignment horizontal="left" vertical="center" wrapText="1"/>
    </x:xf>
    <x:xf numFmtId="164" fontId="7" fillId="0" borderId="1" xfId="0" applyNumberFormat="1" applyFont="1" applyFill="1" applyBorder="1" applyAlignment="1">
      <x:alignment horizontal="left" vertical="center" wrapText="1"/>
    </x:xf>
    <x:xf numFmtId="0" fontId="9" fillId="0" borderId="1" xfId="0" applyNumberFormat="1" applyFont="1" applyFill="1" applyBorder="1" applyAlignment="1">
      <x:alignment horizontal="left" vertical="center" wrapText="1"/>
    </x:xf>
    <x:xf numFmtId="0" fontId="9" fillId="0" borderId="1" xfId="0" applyNumberFormat="1" applyFont="1" applyBorder="1" applyAlignment="1">
      <x:alignment horizontal="left" vertical="center" wrapText="1"/>
    </x:xf>
    <x:xf numFmtId="0" fontId="9" fillId="0" borderId="1" xfId="0" applyNumberFormat="1" applyFont="1" applyFill="1" applyBorder="1" applyAlignment="1">
      <x:alignment horizontal="left" vertical="center" wrapText="1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9" fillId="0" borderId="1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7" fillId="0" borderId="1" xfId="0" applyNumberFormat="1" applyFont="1" applyFill="1" applyBorder="1" applyAlignment="1" applyProtection="1">
      <x:alignment horizontal="left" vertical="center" wrapText="1"/>
    </x:xf>
    <x:xf numFmtId="164" fontId="7" fillId="0" borderId="1" xfId="0" applyNumberFormat="1" applyFont="1" applyFill="1" applyBorder="1" applyAlignment="1" applyProtection="1">
      <x:alignment horizontal="left" vertical="center" wrapText="1"/>
    </x:xf>
    <x:xf numFmtId="0" fontId="10" fillId="0" borderId="0" xfId="2" applyFont="1" applyFill="1" applyBorder="1" applyAlignment="1" applyProtection="1">
      <x:alignment horizontal="general" vertical="center" wrapText="1"/>
    </x:xf>
    <x:xf numFmtId="0" fontId="7" fillId="0" borderId="1" xfId="0" applyNumberForma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2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NumberFormat="1" applyBorder="1" applyAlignment="1">
          <x:alignment horizontal="center" vertical="center" wrapText="1"/>
        </x:xf>
      </mc:Fallback>
    </mc:AlternateContent>
    <x:xf numFmtId="0" fontId="0" fillId="0" borderId="3" xfId="1" applyNumberFormat="1" applyBorder="1" applyAlignment="1">
      <x:alignment horizontal="general" vertical="bottom"/>
    </x:xf>
    <x:xf numFmtId="0" fontId="0" fillId="0" borderId="0" xfId="1" applyNumberFormat="1" applyBorder="1" applyAlignment="1">
      <x:alignment horizontal="general" vertical="bottom"/>
    </x:xf>
    <x:xf numFmtId="0" fontId="7" fillId="5" borderId="1" xfId="0" applyNumberFormat="1" applyFont="1" applyFill="1" applyBorder="1" applyAlignment="1" applyProtection="1">
      <x:alignment horizontal="left" vertical="center" wrapText="1"/>
    </x:xf>
    <x:xf numFmtId="0" fontId="0" fillId="5" borderId="3" xfId="1" applyNumberFormat="1" applyFill="1" applyBorder="1" applyAlignment="1">
      <x:alignment horizontal="general" vertical="bottom"/>
    </x:xf>
    <x:xf numFmtId="14" fontId="0" fillId="5" borderId="3" xfId="0" applyNumberFormat="1" applyFont="1" applyFill="1" applyBorder="1" applyAlignment="1" applyProtection="1">
      <x:alignment horizontal="left" vertical="bottom"/>
    </x:xf>
    <x:xf numFmtId="0" fontId="7" fillId="0" borderId="0" xfId="0" applyNumberFormat="1" applyBorder="1" applyAlignment="1">
      <x:alignment horizontal="left" vertical="center" wrapText="1"/>
    </x:xf>
  </x:cellXfs>
  <x:cellStyles count="3">
    <x:cellStyle name="Normal" xfId="0" builtinId="0"/>
    <x:cellStyle name="표준" xfId="2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0061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6efce"/>
            </x:patternFill>
          </x:fill>
        </x:dxf>
      </mc:Choice>
      <mc:Fallback>
        <x:dxf>
          <x:font>
            <x:sz val="10"/>
            <x:color rgb="ff006100"/>
            <x:b val="1"/>
          </x:font>
          <x:fill>
            <x:patternFill patternType="solid">
              <x:fgColor rgb="ffc6ef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9c0006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c7ce"/>
            </x:patternFill>
          </x:fill>
        </x:dxf>
      </mc:Choice>
      <mc:Fallback>
        <x:dxf>
          <x:font>
            <x:sz val="10"/>
            <x:color rgb="ff9c0006"/>
            <x:b val="1"/>
          </x:font>
          <x:fill>
            <x:patternFill patternType="solid">
              <x:f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9c57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ffeb9c"/>
            </x:patternFill>
          </x:fill>
        </x:dxf>
      </mc:Choice>
      <mc:Fallback>
        <x:dxf>
          <x:font>
            <x:sz val="10"/>
            <x:color rgb="ff9c5700"/>
            <x:b val="1"/>
          </x:font>
          <x:fill>
            <x:patternFill patternType="solid">
              <x:fgColor rgb="ffffeb9c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595959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e7e6e6"/>
            </x:patternFill>
          </x:fill>
        </x:dxf>
      </mc:Choice>
      <mc:Fallback>
        <x:dxf>
          <x:font>
            <x:sz val="10"/>
            <x:color rgb="ff595959"/>
            <x:b val="1"/>
          </x:font>
          <x:fill>
            <x:patternFill patternType="solid">
              <x:fgColor rgb="ffe7e6e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1f4e79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6eaf8"/>
            </x:patternFill>
          </x:fill>
        </x:dxf>
      </mc:Choice>
      <mc:Fallback>
        <x:dxf>
          <x:font>
            <x:sz val="10"/>
            <x:color rgb="ff1f4e79"/>
            <x:b val="1"/>
          </x:font>
          <x:fill>
            <x:patternFill patternType="solid">
              <x:fgColor rgb="ffd6eaf8"/>
            </x:patternFill>
          </x:fill>
        </x:dxf>
      </mc:Fallback>
    </mc:AlternateContent>
    <x:dxf>
      <x:border>
        <x:horizontal>
          <x:color rgb="ff000000"/>
        </x:horizontal>
      </x:border>
    </x:dxf>
    <x:dxf>
      <x:border>
        <x:left style="thin">
          <x:color rgb="ffd4cbb8"/>
        </x:left>
        <x:right style="thin">
          <x:color rgb="ffd4cbb8"/>
        </x:right>
        <x:top style="thin">
          <x:color rgb="ffd4cbb8"/>
        </x:top>
        <x:bottom style="thin">
          <x:color rgb="ffd4cbb8"/>
        </x:bottom>
      </x:border>
    </x:dxf>
    <x:dxf>
      <x:alignment vertical="center" wrapText="1"/>
      <x:border>
        <x:left style="thin">
          <x:color rgb="ffd4cbb8"/>
        </x:left>
        <x:top style="thin">
          <x:color rgb="ffd4cbb8"/>
        </x:top>
        <x:bottom style="thin">
          <x:color rgb="ffd4cbb8"/>
        </x:bottom>
      </x:border>
    </x:dxf>
    <x:dxf>
      <x:border>
        <x:top style="thin">
          <x:color rgb="ffd4cbb8"/>
        </x:top>
      </x:border>
    </x:dxf>
    <x:dxf>
      <x:border>
        <x:horizontal>
          <x:color rgb="ff000000"/>
        </x:horizontal>
      </x:border>
    </x:dxf>
    <mc:AlternateContent xmlns:mc="http://schemas.openxmlformats.org/markup-compatibility/2006">
      <mc:Choice xmlns:hs="http://schemas.haansoft.com/office/spreadsheet/8.0" Requires="hs">
        <x:dxf hs:applyExtension="1">
          <x:font>
            <x:sz val="10"/>
            <x:color rgb="ffffffff"/>
            <x:b val="1"/>
          </x:font>
          <x:fill>
            <x:patternFill patternType="solid">
              <x:bgColor rgb="ff1e3a5f"/>
            </x:patternFill>
          </x:fill>
          <x:alignment horizontal="center" vertical="center" wrapText="1"/>
          <x:border>
            <x:left style="thin">
              <x:color rgb="ffd4cbb8"/>
            </x:left>
            <x:right style="thin">
              <x:color rgb="ffd4cbb8"/>
            </x:right>
            <x:top style="thin">
              <x:color rgb="ffd4cbb8"/>
            </x:top>
            <x:bottom style="thin">
              <x:color rgb="ffd4cbb8"/>
            </x:bottom>
            <x:vertical style="thin">
              <x:color rgb="ffd4cbb8"/>
            </x:vertical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1e3a5f"/>
            </x:patternFill>
          </x:fill>
          <x:alignment horizontal="center" vertical="center" wrapText="1"/>
          <x:border>
            <x:left style="thin">
              <x:color rgb="ffd4cbb8"/>
            </x:left>
            <x:right style="thin">
              <x:color rgb="ffd4cbb8"/>
            </x:right>
            <x:top style="thin">
              <x:color rgb="ffd4cbb8"/>
            </x:top>
            <x:bottom style="thin">
              <x:color rgb="ffd4cbb8"/>
            </x:bottom>
            <x:vertical style="thin">
              <x:color rgb="ffd4cbb8"/>
            </x:vertic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>
            <x:sz val="10"/>
            <x:color rgb="ffffffff"/>
            <x:b val="1"/>
          </x:font>
          <x:fill>
            <x:patternFill patternType="solid">
              <x:bgColor rgb="ff1e3a5f"/>
            </x:patternFill>
          </x:fill>
          <x:alignment horizontal="center" vertical="center" wrapText="1"/>
          <x:border>
            <x:left style="thin">
              <x:color rgb="ffd4cbb8"/>
            </x:left>
            <x:right style="thin">
              <x:color rgb="ffd4cbb8"/>
            </x:right>
            <x:top style="thin">
              <x:color rgb="ffd4cbb8"/>
            </x:top>
            <x:bottom style="thin">
              <x:color rgb="ffd4cbb8"/>
            </x:bottom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1e3a5f"/>
            </x:patternFill>
          </x:fill>
          <x:alignment horizontal="center" vertical="center" wrapText="1"/>
          <x:border>
            <x:left style="thin">
              <x:color rgb="ffd4cbb8"/>
            </x:left>
            <x:right style="thin">
              <x:color rgb="ffd4cbb8"/>
            </x:right>
            <x:top style="thin">
              <x:color rgb="ffd4cbb8"/>
            </x:top>
            <x:bottom style="thin">
              <x:color rgb="ffd4cbb8"/>
            </x:bottom>
          </x:border>
        </x:dxf>
      </mc:Fallback>
    </mc:AlternateContent>
    <x:dxf>
      <x:border>
        <x:top style="thin">
          <x:color rgb="ffd4cbb8"/>
        </x:top>
        <x:horizontal>
          <x:color rgb="ff000000"/>
        </x:horizontal>
      </x:border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ScopeTable" displayName="ScopeTable" ref="A1:G6" totalsRowBorderDxfId="5">
  <x:autoFilter ref="A1:G6"/>
  <x:tableColumns count="7">
    <x:tableColumn id="1" name="범위ID" dataDxfId="9"/>
    <x:tableColumn id="2" name="조직" dataDxfId="9"/>
    <x:tableColumn id="3" name="업무" dataDxfId="9"/>
    <x:tableColumn id="4" name="시스템" dataDxfId="9"/>
    <x:tableColumn id="5" name="포함여부" dataDxfId="9"/>
    <x:tableColumn id="6" name="근거" dataDxfId="9"/>
    <x:tableColumn id="7" name="제외사유" dataDxfId="9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AssetsTable" displayName="AssetsTable" ref="A1:G5" totalsRowBorderDxfId="5">
  <x:autoFilter ref="A1:G5"/>
  <x:tableColumns count="7">
    <x:tableColumn id="1" name="자산ID" dataDxfId="9"/>
    <x:tableColumn id="2" name="종류" dataDxfId="9"/>
    <x:tableColumn id="3" name="위치" dataDxfId="9"/>
    <x:tableColumn id="4" name="소유자" dataDxfId="9"/>
    <x:tableColumn id="5" name="처리항목" dataDxfId="9"/>
    <x:tableColumn id="6" name="중요도" dataDxfId="9"/>
    <x:tableColumn id="7" name="실제확인" dataDxfId="9"/>
  </x:tableColumns>
  <x:tableStyleInfo name="TableStyleMedium2" showFirstColumn="0" showLastColumn="0" showRowStripes="1" showColumnStripes="0"/>
</x:table>
</file>

<file path=xl/tables/table3.xml><?xml version="1.0" encoding="utf-8"?>
<x:table xmlns:r="http://schemas.openxmlformats.org/officeDocument/2006/relationships" xmlns:c="http://schemas.openxmlformats.org/drawingml/2006/chart" xmlns:x="http://schemas.openxmlformats.org/spreadsheetml/2006/main" id="3" name="ProcessingTable" displayName="ProcessingTable" ref="A1:L5" totalsRowBorderDxfId="5">
  <x:autoFilter ref="A1:L5"/>
  <x:tableColumns count="12">
    <x:tableColumn id="1" name="업무ID" dataDxfId="9"/>
    <x:tableColumn id="2" name="목적" dataDxfId="9"/>
    <x:tableColumn id="3" name="항목" dataDxfId="9"/>
    <x:tableColumn id="4" name="근거" dataDxfId="9"/>
    <x:tableColumn id="5" name="수탁자" dataDxfId="9"/>
    <x:tableColumn id="6" name="저장위치" dataDxfId="9"/>
    <x:tableColumn id="7" name="종료조건" dataDxfId="9"/>
    <x:tableColumn id="8" name="보존사유" dataDxfId="9"/>
    <x:tableColumn id="9" name="기산점" dataDxfId="9"/>
    <x:tableColumn id="10" name="필요기간/판단상태" dataDxfId="9"/>
    <x:tableColumn id="11" name="파기방법·책임" dataDxfId="9"/>
    <x:tableColumn id="12" name="예외" dataDxfId="9"/>
  </x:tableColumns>
  <x:tableStyleInfo name="TableStyleMedium2" showFirstColumn="0" showLastColumn="0" showRowStripes="1" showColumnStripes="0"/>
</x:table>
</file>

<file path=xl/tables/table4.xml><?xml version="1.0" encoding="utf-8"?>
<x:table xmlns:r="http://schemas.openxmlformats.org/officeDocument/2006/relationships" xmlns:c="http://schemas.openxmlformats.org/drawingml/2006/chart" xmlns:x="http://schemas.openxmlformats.org/spreadsheetml/2006/main" id="4" name="AccountsTable" displayName="AccountsTable" ref="A1:I7" totalsRowBorderDxfId="5">
  <x:autoFilter ref="A1:I7"/>
  <x:tableColumns count="9">
    <x:tableColumn id="1" name="직원ID" dataDxfId="9"/>
    <x:tableColumn id="2" name="이메일" dataDxfId="9"/>
    <x:tableColumn id="3" name="역할" dataDxfId="9"/>
    <x:tableColumn id="4" name="그룹" dataDxfId="9"/>
    <x:tableColumn id="5" name="재직상태" dataDxfId="9"/>
    <x:tableColumn id="6" name="종료일" dataDxfId="9"/>
    <x:tableColumn id="7" name="실제Active" dataDxfId="9"/>
    <x:tableColumn id="8" name="승인자" dataDxfId="9"/>
    <x:tableColumn id="9" name="증적ID" dataDxfId="9"/>
  </x:tableColumns>
  <x:tableStyleInfo name="TableStyleMedium2" showFirstColumn="0" showLastColumn="0" showRowStripes="1" showColumnStripes="0"/>
</x:table>
</file>

<file path=xl/tables/table5.xml><?xml version="1.0" encoding="utf-8"?>
<x:table xmlns:r="http://schemas.openxmlformats.org/officeDocument/2006/relationships" xmlns:c="http://schemas.openxmlformats.org/drawingml/2006/chart" xmlns:x="http://schemas.openxmlformats.org/spreadsheetml/2006/main" id="5" name="SourcesTable" displayName="SourcesTable" ref="A1:K8" totalsRowBorderDxfId="5">
  <x:autoFilter ref="A1:K8"/>
  <x:tableColumns count="11">
    <x:tableColumn id="1" name="출처ID" dataDxfId="9"/>
    <x:tableColumn id="2" name="기관" dataDxfId="9"/>
    <x:tableColumn id="3" name="제목" dataDxfId="9"/>
    <x:tableColumn id="4" name="공포발표일" dataDxfId="9"/>
    <x:tableColumn id="5" name="시행일" dataDxfId="9"/>
    <x:tableColumn id="6" name="확인일" dataDxfId="9"/>
    <x:tableColumn id="7" name="URL" dataDxfId="9"/>
    <x:tableColumn id="8" name="관련조항" dataDxfId="9"/>
    <x:tableColumn id="9" name="상태" dataDxfId="9"/>
    <x:tableColumn id="10" name="문서유형" dataDxfId="9"/>
    <x:tableColumn id="11" name="개정판" dataDxfId="9"/>
  </x:tableColumns>
  <x:tableStyleInfo name="TableStyleMedium2" showFirstColumn="0" showLastColumn="0" showRowStripes="1" showColumnStripes="0"/>
</x:table>
</file>

<file path=xl/tables/table6.xml><?xml version="1.0" encoding="utf-8"?>
<x:table xmlns:r="http://schemas.openxmlformats.org/officeDocument/2006/relationships" xmlns:c="http://schemas.openxmlformats.org/drawingml/2006/chart" xmlns:x="http://schemas.openxmlformats.org/spreadsheetml/2006/main" id="6" name="ControlsTable" displayName="ControlsTable" ref="A1:G4" totalsRowBorderDxfId="5">
  <x:autoFilter ref="A1:G4"/>
  <x:tableColumns count="7">
    <x:tableColumn id="1" name="자체통제ID" dataDxfId="9"/>
    <x:tableColumn id="2" name="요구사항" dataDxfId="9"/>
    <x:tableColumn id="3" name="법령항호" dataDxfId="9"/>
    <x:tableColumn id="4" name="ISMS-P항목" dataDxfId="9"/>
    <x:tableColumn id="5" name="기술참고" dataDxfId="9"/>
    <x:tableColumn id="6" name="적용여부" dataDxfId="9"/>
    <x:tableColumn id="7" name="판정조건" dataDxfId="9"/>
  </x:tableColumns>
  <x:tableStyleInfo name="TableStyleMedium2" showFirstColumn="0" showLastColumn="0" showRowStripes="1" showColumnStripes="0"/>
</x:table>
</file>

<file path=xl/tables/table7.xml><?xml version="1.0" encoding="utf-8"?>
<x:table xmlns:r="http://schemas.openxmlformats.org/officeDocument/2006/relationships" xmlns:c="http://schemas.openxmlformats.org/drawingml/2006/chart" xmlns:x="http://schemas.openxmlformats.org/spreadsheetml/2006/main" id="7" name="ChecksTable" displayName="ChecksTable" ref="A1:H25" totalsRowBorderDxfId="5">
  <x:autoFilter ref="A1:H25"/>
  <x:tableColumns count="8">
    <x:tableColumn id="1" name="점검ID" dataDxfId="9"/>
    <x:tableColumn id="2" name="대상" dataDxfId="9"/>
    <x:tableColumn id="3" name="방법" dataDxfId="9"/>
    <x:tableColumn id="4" name="기대결과" dataDxfId="9"/>
    <x:tableColumn id="5" name="관측결과" dataDxfId="9"/>
    <x:tableColumn id="6" name="판정" dataDxfId="9"/>
    <x:tableColumn id="7" name="증적ID" dataDxfId="9"/>
    <x:tableColumn id="8" name="한계" dataDxfId="9"/>
  </x:tableColumns>
  <x:tableStyleInfo name="TableStyleMedium2" showFirstColumn="0" showLastColumn="0" showRowStripes="1" showColumnStripes="0"/>
</x:table>
</file>

<file path=xl/tables/table8.xml><?xml version="1.0" encoding="utf-8"?>
<x:table xmlns:r="http://schemas.openxmlformats.org/officeDocument/2006/relationships" xmlns:c="http://schemas.openxmlformats.org/drawingml/2006/chart" xmlns:x="http://schemas.openxmlformats.org/spreadsheetml/2006/main" id="8" name="FindingsTable" displayName="FindingsTable" ref="A1:R5" totalsRowBorderDxfId="5">
  <x:autoFilter ref="A1:R5"/>
  <x:tableColumns count="18">
    <x:tableColumn id="1" name="발견ID" dataDxfId="9"/>
    <x:tableColumn id="2" name="연결점검" dataDxfId="9"/>
    <x:tableColumn id="3" name="사실" dataDxfId="9"/>
    <x:tableColumn id="4" name="원인" dataDxfId="9"/>
    <x:tableColumn id="5" name="영향" dataDxfId="9"/>
    <x:tableColumn id="6" name="위험점수" dataDxfId="9"/>
    <x:tableColumn id="7" name="우선순위" dataDxfId="9"/>
    <x:tableColumn id="8" name="근거" dataDxfId="9"/>
    <x:tableColumn id="9" name="최종가능성" dataDxfId="9"/>
    <x:tableColumn id="10" name="최종영향" dataDxfId="9"/>
    <x:tableColumn id="11" name="최종점수" dataDxfId="9"/>
    <x:tableColumn id="12" name="최종우선순위" dataDxfId="9"/>
    <x:tableColumn id="13" name="산정근거" dataDxfId="9"/>
    <x:tableColumn id="14" name="평가기준일" dataDxfId="9"/>
    <x:tableColumn id="15" name="잔여가능성" dataDxfId="9"/>
    <x:tableColumn id="16" name="잔여영향" dataDxfId="9"/>
    <x:tableColumn id="17" name="잔여점수" dataDxfId="9"/>
    <x:tableColumn id="18" name="잔여우선순위" dataDxfId="9"/>
  </x:tableColumns>
  <x:tableStyleInfo name="TableStyleMedium2" showFirstColumn="0" showLastColumn="0" showRowStripes="1" showColumnStripes="0"/>
</x:table>
</file>

<file path=xl/tables/table9.xml><?xml version="1.0" encoding="utf-8"?>
<x:table xmlns:r="http://schemas.openxmlformats.org/officeDocument/2006/relationships" xmlns:c="http://schemas.openxmlformats.org/drawingml/2006/chart" xmlns:x="http://schemas.openxmlformats.org/spreadsheetml/2006/main" id="9" name="ActionsTable" displayName="ActionsTable" ref="A1:H5" totalsRowBorderDxfId="5">
  <x:autoFilter ref="A1:H5"/>
  <x:tableColumns count="8">
    <x:tableColumn id="1" name="개선ID" dataDxfId="9"/>
    <x:tableColumn id="2" name="발견ID" dataDxfId="9"/>
    <x:tableColumn id="3" name="즉시조치" dataDxfId="9"/>
    <x:tableColumn id="4" name="근본조치" dataDxfId="9"/>
    <x:tableColumn id="5" name="담당자" dataDxfId="9"/>
    <x:tableColumn id="6" name="기한" dataDxfId="9"/>
    <x:tableColumn id="7" name="비용가정" dataDxfId="9"/>
    <x:tableColumn id="8" name="상태" dataDxfId="9"/>
  </x:tableColumns>
  <x:tableStyleInfo name="TableStyleMedium2" showFirstColumn="0" showLastColumn="0" showRowStripes="1" showColumnStripes="0"/>
</x:table>
</file>

<file path=xl/tables/table10.xml><?xml version="1.0" encoding="utf-8"?>
<x:table xmlns:r="http://schemas.openxmlformats.org/officeDocument/2006/relationships" xmlns:c="http://schemas.openxmlformats.org/drawingml/2006/chart" xmlns:x="http://schemas.openxmlformats.org/spreadsheetml/2006/main" id="10" name="RetestTable" displayName="RetestTable" ref="A1:H5" totalsRowBorderDxfId="5">
  <x:autoFilter ref="A1:H5"/>
  <x:tableColumns count="8">
    <x:tableColumn id="1" name="재점검ID" dataDxfId="9"/>
    <x:tableColumn id="2" name="발견ID" dataDxfId="9"/>
    <x:tableColumn id="3" name="전증적" dataDxfId="9"/>
    <x:tableColumn id="4" name="후증적" dataDxfId="9"/>
    <x:tableColumn id="5" name="정상업무" dataDxfId="9"/>
    <x:tableColumn id="6" name="잔여위험" dataDxfId="9"/>
    <x:tableColumn id="7" name="판정" dataDxfId="9"/>
    <x:tableColumn id="8" name="확인일" dataDxfId="9"/>
  </x:tableColumns>
  <x:tableStyleInfo name="TableStyleMedium2" showFirstColumn="0" showLastColumn="0" showRowStripes="1" showColumnStripes="0"/>
</x:table>
</file>

<file path=xl/tables/table11.xml><?xml version="1.0" encoding="utf-8"?>
<x:table xmlns:r="http://schemas.openxmlformats.org/officeDocument/2006/relationships" xmlns:c="http://schemas.openxmlformats.org/drawingml/2006/chart" xmlns:x="http://schemas.openxmlformats.org/spreadsheetml/2006/main" id="11" name="EvidenceTable" displayName="EvidenceTable" ref="A1:N23" headerRowDxfId="10" dataDxfId="7" headerRowBorderDxfId="6" tableBorderDxfId="8" totalsRowBorderDxfId="5">
  <x:autoFilter ref="A1:N23"/>
  <x:tableColumns count="14">
    <x:tableColumn id="1" name="증적ID" dataDxfId="12"/>
    <x:tableColumn id="2" name="수집시각" dataDxfId="12"/>
    <x:tableColumn id="3" name="수집자역할" dataDxfId="12"/>
    <x:tableColumn id="4" name="대상" dataDxfId="12"/>
    <x:tableColumn id="5" name="방법" dataDxfId="12"/>
    <x:tableColumn id="6" name="원본경로" dataDxfId="12"/>
    <x:tableColumn id="7" name="공개경로" dataDxfId="12"/>
    <x:tableColumn id="8" name="SHA256" dataDxfId="12"/>
    <x:tableColumn id="9" name="제약" dataDxfId="12"/>
    <x:tableColumn id="10" name="가공본SHA256" dataDxfId="12"/>
    <x:tableColumn id="11" name="가공내용" dataDxfId="12"/>
    <x:tableColumn id="12" name="검수일" dataDxfId="12"/>
    <x:tableColumn id="13" name="시간근거" dataDxfId="12"/>
    <x:tableColumn id="14" name="참조유형" dataDxfId="12"/>
  </x:tableColumns>
  <x:tableStyleInfo name="TableStyleMedium2" showFirstColumn="0" showLastColumn="0" showRowStripes="1" showColumnStripes="0"/>
</x:table>
</file>

<file path=xl/tables/table12.xml><?xml version="1.0" encoding="utf-8"?>
<x:table xmlns:r="http://schemas.openxmlformats.org/officeDocument/2006/relationships" xmlns:c="http://schemas.openxmlformats.org/drawingml/2006/chart" xmlns:x="http://schemas.openxmlformats.org/spreadsheetml/2006/main" id="12" name="FinalReviewTable" displayName="FinalReviewTable" ref="A1:K25" totalsRowBorderDxfId="5">
  <x:autoFilter ref="A1:K25"/>
  <x:tableColumns count="11">
    <x:tableColumn id="1" name="항목ID" dataDxfId="9"/>
    <x:tableColumn id="2" name="검토대상" dataDxfId="9"/>
    <x:tableColumn id="3" name="초기판정" dataDxfId="9"/>
    <x:tableColumn id="4" name="현재관측" dataDxfId="9"/>
    <x:tableColumn id="5" name="현재상태" dataDxfId="9"/>
    <x:tableColumn id="6" name="근거" dataDxfId="9"/>
    <x:tableColumn id="7" name="한계" dataDxfId="9"/>
    <x:tableColumn id="8" name="담당" dataDxfId="9"/>
    <x:tableColumn id="9" name="기한" dataDxfId="9"/>
    <x:tableColumn id="10" name="검토일" dataDxfId="9"/>
    <x:tableColumn id="11" name="인계결정" dataDxfId="9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table" Target="../tables/table3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table" Target="../tables/table4.xml"  /><Relationship Id="rId3" Type="http://schemas.openxmlformats.org/officeDocument/2006/relationships/comments" Target="../comments1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hyperlink" Target="https://www.isms-p.or.kr/ntcn/rcsrm/selectGnrlRcsrmList.do" TargetMode="External" /><Relationship Id="rId2" Type="http://schemas.openxmlformats.org/officeDocument/2006/relationships/hyperlink" Target="https://pipc.go.kr/np/cop/bbs/selectBoardArticle.do?bbsId=BS217&amp;mCode=D010030000&amp;nttId=12018" TargetMode="External" /><Relationship Id="rId3" Type="http://schemas.openxmlformats.org/officeDocument/2006/relationships/hyperlink" Target="https://www.iso.org/standard/85819.html" TargetMode="External" /><Relationship Id="rId4" Type="http://schemas.openxmlformats.org/officeDocument/2006/relationships/hyperlink" Target="https://www.kisa.or.kr/2060204/form?lang_type=KO&amp;postSeq=22" TargetMode="External" /><Relationship Id="rId5" Type="http://schemas.openxmlformats.org/officeDocument/2006/relationships/table" Target="../tables/table5.xml"  /></Relationships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table" Target="../tables/table6.xml"  /></Relationships>
</file>

<file path=xl/worksheets/_rels/sheet7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table" Target="../tables/table7.xml"  /><Relationship Id="rId3" Type="http://schemas.openxmlformats.org/officeDocument/2006/relationships/comments" Target="../comments2.xml"  /></Relationships>
</file>

<file path=xl/worksheets/_rels/sheet8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3.vml"  /><Relationship Id="rId2" Type="http://schemas.openxmlformats.org/officeDocument/2006/relationships/table" Target="../tables/table8.xml"  /><Relationship Id="rId3" Type="http://schemas.openxmlformats.org/officeDocument/2006/relationships/comments" Target="../comments3.xml"  /></Relationships>
</file>

<file path=xl/worksheets/_rels/sheet9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4.vml"  /><Relationship Id="rId2" Type="http://schemas.openxmlformats.org/officeDocument/2006/relationships/table" Target="../tables/table9.xml"  /><Relationship Id="rId3" Type="http://schemas.openxmlformats.org/officeDocument/2006/relationships/comments" Target="../comments4.xml"  /></Relationships>
</file>

<file path=xl/worksheets/_rels/sheet10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5.vml"  /><Relationship Id="rId2" Type="http://schemas.openxmlformats.org/officeDocument/2006/relationships/table" Target="../tables/table10.xml"  /><Relationship Id="rId3" Type="http://schemas.openxmlformats.org/officeDocument/2006/relationships/comments" Target="../comments5.xml"  /></Relationships>
</file>

<file path=xl/worksheets/_rels/sheet1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1.xml"  /></Relationships>
</file>

<file path=xl/worksheets/_rels/sheet13.xml.rels><?xml version="1.0" encoding="UTF-8" standalone="yes" ?><Relationships xmlns="http://schemas.openxmlformats.org/package/2006/relationships"><Relationship Id="rId1" Type="http://schemas.openxmlformats.org/officeDocument/2006/relationships/table" Target="../tables/table1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1e3a5f"/>
    <x:pageSetUpPr autoPageBreaks="1" fitToPage="1"/>
  </x:sheetPr>
  <x:dimension ref="A1:G6"/>
  <x:sheetViews>
    <x:sheetView showGridLines="0" topLeftCell="A1" zoomScale="110" zoomScaleNormal="110" zoomScaleSheetLayoutView="110" workbookViewId="0">
      <x:pane xSplit="0" ySplit="1" topLeftCell="A2" activePane="bottomLeft" state="frozen"/>
      <x:selection pane="bottomLeft" activeCell="A1" activeCellId="0" sqref="A1:A1"/>
    </x:sheetView>
  </x:sheetViews>
  <x:sheetFormatPr defaultColWidth="8.796875" defaultRowHeight="16.39999999999999857891"/>
  <x:cols>
    <x:col min="1" max="1" width="10" customWidth="1"/>
    <x:col min="2" max="2" width="13" customWidth="1"/>
    <x:col min="3" max="3" width="12" customWidth="1"/>
    <x:col min="4" max="4" width="24" customWidth="1"/>
    <x:col min="5" max="5" width="10" customWidth="1"/>
    <x:col min="6" max="6" width="17" customWidth="1"/>
    <x:col min="7" max="7" width="13" customWidth="1"/>
  </x:cols>
  <x:sheetData>
    <x:row r="1" spans="1:7" ht="28" customHeight="1">
      <x:c r="A1" s="1" t="s">
        <x:v>441</x:v>
      </x:c>
      <x:c r="B1" s="1" t="s">
        <x:v>592</x:v>
      </x:c>
      <x:c r="C1" s="1" t="s">
        <x:v>606</x:v>
      </x:c>
      <x:c r="D1" s="1" t="s">
        <x:v>678</x:v>
      </x:c>
      <x:c r="E1" s="1" t="s">
        <x:v>326</x:v>
      </x:c>
      <x:c r="F1" s="1" t="s">
        <x:v>654</x:v>
      </x:c>
      <x:c r="G1" s="1" t="s">
        <x:v>331</x:v>
      </x:c>
    </x:row>
    <x:row r="2" spans="1:7" ht="36" customHeight="1">
      <x:c r="A2" s="2" t="s">
        <x:v>354</x:v>
      </x:c>
      <x:c r="B2" s="3" t="s">
        <x:v>490</x:v>
      </x:c>
      <x:c r="C2" s="3" t="s">
        <x:v>497</x:v>
      </x:c>
      <x:c r="D2" s="3" t="s">
        <x:v>719</x:v>
      </x:c>
      <x:c r="E2" s="2" t="s">
        <x:v>651</x:v>
      </x:c>
      <x:c r="F2" s="3" t="s">
        <x:v>489</x:v>
      </x:c>
      <x:c r="G2" s="3"/>
    </x:row>
    <x:row r="3" spans="1:7" ht="36" customHeight="1">
      <x:c r="A3" s="2" t="s">
        <x:v>315</x:v>
      </x:c>
      <x:c r="B3" s="3" t="s">
        <x:v>491</x:v>
      </x:c>
      <x:c r="C3" s="3" t="s">
        <x:v>374</x:v>
      </x:c>
      <x:c r="D3" s="3" t="s">
        <x:v>313</x:v>
      </x:c>
      <x:c r="E3" s="2" t="s">
        <x:v>651</x:v>
      </x:c>
      <x:c r="F3" s="3" t="s">
        <x:v>201</x:v>
      </x:c>
      <x:c r="G3" s="3"/>
    </x:row>
    <x:row r="4" spans="1:7" ht="36" customHeight="1">
      <x:c r="A4" s="2" t="s">
        <x:v>322</x:v>
      </x:c>
      <x:c r="B4" s="3" t="s">
        <x:v>506</x:v>
      </x:c>
      <x:c r="C4" s="3" t="s">
        <x:v>344</x:v>
      </x:c>
      <x:c r="D4" s="3" t="s">
        <x:v>313</x:v>
      </x:c>
      <x:c r="E4" s="2" t="s">
        <x:v>651</x:v>
      </x:c>
      <x:c r="F4" s="3" t="s">
        <x:v>201</x:v>
      </x:c>
      <x:c r="G4" s="3"/>
    </x:row>
    <x:row r="5" spans="1:7" ht="36" customHeight="1">
      <x:c r="A5" s="2" t="s">
        <x:v>340</x:v>
      </x:c>
      <x:c r="B5" s="3" t="s">
        <x:v>632</x:v>
      </x:c>
      <x:c r="C5" s="3" t="s">
        <x:v>501</x:v>
      </x:c>
      <x:c r="D5" s="3" t="s">
        <x:v>586</x:v>
      </x:c>
      <x:c r="E5" s="2" t="s">
        <x:v>648</x:v>
      </x:c>
      <x:c r="F5" s="3" t="s">
        <x:v>489</x:v>
      </x:c>
      <x:c r="G5" s="3" t="s">
        <x:v>493</x:v>
      </x:c>
    </x:row>
    <x:row r="6" spans="1:7" ht="36" customHeight="1">
      <x:c r="A6" s="2" t="s">
        <x:v>330</x:v>
      </x:c>
      <x:c r="B6" s="3" t="s">
        <x:v>676</x:v>
      </x:c>
      <x:c r="C6" s="3" t="s">
        <x:v>503</x:v>
      </x:c>
      <x:c r="D6" s="3" t="s">
        <x:v>586</x:v>
      </x:c>
      <x:c r="E6" s="2" t="s">
        <x:v>648</x:v>
      </x:c>
      <x:c r="F6" s="3" t="s">
        <x:v>489</x:v>
      </x:c>
      <x:c r="G6" s="3" t="s">
        <x:v>616</x:v>
      </x:c>
    </x:row>
  </x:sheetData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0f6c6c"/>
    <x:pageSetUpPr autoPageBreaks="1" fitToPage="1"/>
  </x:sheetPr>
  <x:dimension ref="A1:G5"/>
  <x:sheetViews>
    <x:sheetView showGridLines="0" topLeftCell="A1" zoomScale="110" zoomScaleNormal="110" zoomScaleSheetLayoutView="110" workbookViewId="0">
      <x:pane xSplit="0" ySplit="1" topLeftCell="A2" activePane="bottomLeft" state="frozen"/>
      <x:selection pane="bottomLeft" activeCell="A1" activeCellId="0" sqref="A1:A1"/>
    </x:sheetView>
  </x:sheetViews>
  <x:sheetFormatPr defaultColWidth="8.796875" defaultRowHeight="16.39999999999999857891"/>
  <x:cols>
    <x:col min="1" max="2" width="10" customWidth="1"/>
    <x:col min="3" max="3" width="24" customWidth="1"/>
    <x:col min="4" max="4" width="13" customWidth="1"/>
    <x:col min="5" max="5" width="15" customWidth="1"/>
    <x:col min="6" max="6" width="10" customWidth="1"/>
    <x:col min="7" max="7" width="11" customWidth="1"/>
  </x:cols>
  <x:sheetData>
    <x:row r="1" spans="1:7" ht="28" customHeight="1">
      <x:c r="A1" s="1" t="s">
        <x:v>327</x:v>
      </x:c>
      <x:c r="B1" s="1" t="s">
        <x:v>590</x:v>
      </x:c>
      <x:c r="C1" s="1" t="s">
        <x:v>636</x:v>
      </x:c>
      <x:c r="D1" s="1" t="s">
        <x:v>600</x:v>
      </x:c>
      <x:c r="E1" s="1" t="s">
        <x:v>387</x:v>
      </x:c>
      <x:c r="F1" s="1" t="s">
        <x:v>681</x:v>
      </x:c>
      <x:c r="G1" s="1" t="s">
        <x:v>386</x:v>
      </x:c>
    </x:row>
    <x:row r="2" spans="1:7" ht="36" customHeight="1">
      <x:c r="A2" s="2" t="s">
        <x:v>320</x:v>
      </x:c>
      <x:c r="B2" s="3" t="s">
        <x:v>445</x:v>
      </x:c>
      <x:c r="C2" s="3" t="s">
        <x:v>717</x:v>
      </x:c>
      <x:c r="D2" s="3" t="s">
        <x:v>490</x:v>
      </x:c>
      <x:c r="E2" s="3" t="s">
        <x:v>188</x:v>
      </x:c>
      <x:c r="F2" s="2" t="s">
        <x:v>679</x:v>
      </x:c>
      <x:c r="G2" s="3" t="s">
        <x:v>453</x:v>
      </x:c>
    </x:row>
    <x:row r="3" spans="1:7" ht="36" customHeight="1">
      <x:c r="A3" s="2" t="s">
        <x:v>398</x:v>
      </x:c>
      <x:c r="B3" s="3" t="s">
        <x:v>422</x:v>
      </x:c>
      <x:c r="C3" s="3" t="s">
        <x:v>515</x:v>
      </x:c>
      <x:c r="D3" s="3" t="s">
        <x:v>491</x:v>
      </x:c>
      <x:c r="E3" s="3" t="s">
        <x:v>397</x:v>
      </x:c>
      <x:c r="F3" s="2" t="s">
        <x:v>627</x:v>
      </x:c>
      <x:c r="G3" s="3" t="s">
        <x:v>453</x:v>
      </x:c>
    </x:row>
    <x:row r="4" spans="1:7" ht="36" customHeight="1">
      <x:c r="A4" s="2" t="s">
        <x:v>316</x:v>
      </x:c>
      <x:c r="B4" s="3" t="s">
        <x:v>454</x:v>
      </x:c>
      <x:c r="C4" s="3" t="s">
        <x:v>467</x:v>
      </x:c>
      <x:c r="D4" s="3" t="s">
        <x:v>598</x:v>
      </x:c>
      <x:c r="E4" s="3" t="s">
        <x:v>536</x:v>
      </x:c>
      <x:c r="F4" s="2" t="s">
        <x:v>627</x:v>
      </x:c>
      <x:c r="G4" s="3" t="s">
        <x:v>48</x:v>
      </x:c>
    </x:row>
    <x:row r="5" spans="1:7" ht="36" customHeight="1">
      <x:c r="A5" s="2" t="s">
        <x:v>317</x:v>
      </x:c>
      <x:c r="B5" s="3" t="s">
        <x:v>623</x:v>
      </x:c>
      <x:c r="C5" s="3" t="s">
        <x:v>644</x:v>
      </x:c>
      <x:c r="D5" s="3" t="s">
        <x:v>644</x:v>
      </x:c>
      <x:c r="E5" s="3" t="s">
        <x:v>644</x:v>
      </x:c>
      <x:c r="F5" s="2" t="s">
        <x:v>679</x:v>
      </x:c>
      <x:c r="G5" s="3" t="s">
        <x:v>644</x:v>
      </x:c>
    </x:row>
  </x:sheetData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tableParts count="1">
    <x:tablePart r:id="rId1"/>
  </x:tablePart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1e3a5f"/>
    <x:pageSetUpPr autoPageBreaks="1" fitToPage="1"/>
  </x:sheetPr>
  <x:dimension ref="A1:L7"/>
  <x:sheetViews>
    <x:sheetView showGridLines="0" topLeftCell="A1" zoomScale="110" zoomScaleNormal="110" zoomScaleSheetLayoutView="110" workbookViewId="0">
      <x:pane xSplit="0" ySplit="1" topLeftCell="A2" activePane="bottomLeft" state="frozen"/>
      <x:selection pane="bottomLeft" activeCell="A1" activeCellId="0" sqref="A1:A1"/>
    </x:sheetView>
  </x:sheetViews>
  <x:sheetFormatPr defaultColWidth="8.796875" defaultRowHeight="16.39999999999999857891"/>
  <x:cols>
    <x:col min="1" max="2" width="10" customWidth="1"/>
    <x:col min="3" max="3" width="24" customWidth="1"/>
    <x:col min="4" max="4" width="12" customWidth="1"/>
    <x:col min="5" max="5" width="22" customWidth="1"/>
    <x:col min="6" max="6" width="24" customWidth="1"/>
    <x:col min="7" max="12" width="32" customWidth="1"/>
  </x:cols>
  <x:sheetData>
    <x:row r="1" spans="1:12" ht="28" customHeight="1">
      <x:c r="A1" s="1" t="s">
        <x:v>334</x:v>
      </x:c>
      <x:c r="B1" s="1" t="s">
        <x:v>642</x:v>
      </x:c>
      <x:c r="C1" s="1" t="s">
        <x:v>608</x:v>
      </x:c>
      <x:c r="D1" s="1" t="s">
        <x:v>654</x:v>
      </x:c>
      <x:c r="E1" s="1" t="s">
        <x:v>621</x:v>
      </x:c>
      <x:c r="F1" s="1" t="s">
        <x:v>446</x:v>
      </x:c>
      <x:c r="G1" s="1" t="s">
        <x:v>428</x:v>
      </x:c>
      <x:c r="H1" s="1" t="s">
        <x:v>429</x:v>
      </x:c>
      <x:c r="I1" s="1" t="s">
        <x:v>682</x:v>
      </x:c>
      <x:c r="J1" s="1" t="s">
        <x:v>113</x:v>
      </x:c>
      <x:c r="K1" s="1" t="s">
        <x:v>430</x:v>
      </x:c>
      <x:c r="L1" s="1" t="s">
        <x:v>677</x:v>
      </x:c>
    </x:row>
    <x:row r="2" spans="1:12" ht="56" customHeight="1">
      <x:c r="A2" s="2" t="s">
        <x:v>433</x:v>
      </x:c>
      <x:c r="B2" s="3" t="s">
        <x:v>426</x:v>
      </x:c>
      <x:c r="C2" s="3" t="s">
        <x:v>195</x:v>
      </x:c>
      <x:c r="D2" s="3" t="s">
        <x:v>499</x:v>
      </x:c>
      <x:c r="E2" s="3" t="s">
        <x:v>491</x:v>
      </x:c>
      <x:c r="F2" s="3" t="s">
        <x:v>313</x:v>
      </x:c>
      <x:c r="G2" s="3" t="s">
        <x:v>751</x:v>
      </x:c>
      <x:c r="H2" s="3" t="s">
        <x:v>69</x:v>
      </x:c>
      <x:c r="I2" s="3" t="s">
        <x:v>175</x:v>
      </x:c>
      <x:c r="J2" s="3" t="s">
        <x:v>179</x:v>
      </x:c>
      <x:c r="K2" s="3" t="s">
        <x:v>469</x:v>
      </x:c>
      <x:c r="L2" s="3" t="s">
        <x:v>584</x:v>
      </x:c>
    </x:row>
    <x:row r="3" spans="1:12" ht="56" customHeight="1">
      <x:c r="A3" s="2" t="s">
        <x:v>403</x:v>
      </x:c>
      <x:c r="B3" s="3" t="s">
        <x:v>400</x:v>
      </x:c>
      <x:c r="C3" s="3" t="s">
        <x:v>604</x:v>
      </x:c>
      <x:c r="D3" s="3" t="s">
        <x:v>499</x:v>
      </x:c>
      <x:c r="E3" s="3" t="s">
        <x:v>186</x:v>
      </x:c>
      <x:c r="F3" s="3" t="s">
        <x:v>206</x:v>
      </x:c>
      <x:c r="G3" s="3" t="s">
        <x:v>115</x:v>
      </x:c>
      <x:c r="H3" s="3" t="s">
        <x:v>115</x:v>
      </x:c>
      <x:c r="I3" s="3" t="s">
        <x:v>115</x:v>
      </x:c>
      <x:c r="J3" s="3" t="s">
        <x:v>115</x:v>
      </x:c>
      <x:c r="K3" s="3" t="s">
        <x:v>115</x:v>
      </x:c>
      <x:c r="L3" s="3" t="s">
        <x:v>584</x:v>
      </x:c>
    </x:row>
    <x:row r="4" spans="1:12" ht="56" customHeight="1">
      <x:c r="A4" s="2" t="s">
        <x:v>443</x:v>
      </x:c>
      <x:c r="B4" s="3" t="s">
        <x:v>344</x:v>
      </x:c>
      <x:c r="C4" s="3" t="s">
        <x:v>399</x:v>
      </x:c>
      <x:c r="D4" s="3" t="s">
        <x:v>530</x:v>
      </x:c>
      <x:c r="E4" s="3" t="s">
        <x:v>506</x:v>
      </x:c>
      <x:c r="F4" s="3" t="s">
        <x:v>442</x:v>
      </x:c>
      <x:c r="G4" s="3" t="s">
        <x:v>752</x:v>
      </x:c>
      <x:c r="H4" s="3" t="s">
        <x:v>74</x:v>
      </x:c>
      <x:c r="I4" s="3" t="s">
        <x:v>233</x:v>
      </x:c>
      <x:c r="J4" s="3" t="s">
        <x:v>179</x:v>
      </x:c>
      <x:c r="K4" s="3" t="s">
        <x:v>288</x:v>
      </x:c>
      <x:c r="L4" s="3" t="s">
        <x:v>584</x:v>
      </x:c>
    </x:row>
    <x:row r="5" spans="1:12" ht="56" customHeight="1">
      <x:c r="A5" s="2" t="s">
        <x:v>432</x:v>
      </x:c>
      <x:c r="B5" s="3" t="s">
        <x:v>112</x:v>
      </x:c>
      <x:c r="C5" s="3" t="s">
        <x:v>238</x:v>
      </x:c>
      <x:c r="D5" s="3" t="s">
        <x:v>114</x:v>
      </x:c>
      <x:c r="E5" s="3" t="s">
        <x:v>431</x:v>
      </x:c>
      <x:c r="F5" s="3" t="s">
        <x:v>727</x:v>
      </x:c>
      <x:c r="G5" s="3" t="s">
        <x:v>180</x:v>
      </x:c>
      <x:c r="H5" s="3" t="s">
        <x:v>243</x:v>
      </x:c>
      <x:c r="I5" s="3" t="s">
        <x:v>248</x:v>
      </x:c>
      <x:c r="J5" s="3" t="s">
        <x:v>241</x:v>
      </x:c>
      <x:c r="K5" s="3" t="s">
        <x:v>53</x:v>
      </x:c>
      <x:c r="L5" s="3" t="s">
        <x:v>734</x:v>
      </x:c>
    </x:row>
    <x:row r="7" spans="1:12" ht="56" customHeight="1">
      <x:c r="A7" s="21" t="s">
        <x:v>58</x:v>
      </x:c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</x:row>
  </x:sheetData>
  <x:mergeCells count="1">
    <x:mergeCell ref="A7:L7"/>
  </x:mergeCells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tableParts count="1">
    <x:tablePart r:id="rId1"/>
  </x:tablePart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b03a2e"/>
    <x:pageSetUpPr autoPageBreaks="1" fitToPage="1"/>
  </x:sheetPr>
  <x:dimension ref="A1:I7"/>
  <x:sheetViews>
    <x:sheetView showGridLines="0" topLeftCell="A1" zoomScale="110" zoomScaleNormal="110" zoomScaleSheetLayoutView="110" workbookViewId="0">
      <x:pane xSplit="0" ySplit="1" topLeftCell="A2" activePane="bottomLeft" state="frozen"/>
      <x:selection pane="bottomLeft" activeCell="A1" activeCellId="0" sqref="A1:A1"/>
    </x:sheetView>
  </x:sheetViews>
  <x:sheetFormatPr defaultColWidth="8.796875" defaultRowHeight="16.39999999999999857891"/>
  <x:cols>
    <x:col min="1" max="1" width="10" customWidth="1"/>
    <x:col min="2" max="2" width="30" customWidth="1"/>
    <x:col min="3" max="3" width="10" customWidth="1"/>
    <x:col min="4" max="4" width="33" customWidth="1"/>
    <x:col min="5" max="5" width="10" customWidth="1"/>
    <x:col min="6" max="6" width="15" customWidth="1"/>
    <x:col min="7" max="7" width="11" customWidth="1"/>
    <x:col min="8" max="9" width="12" customWidth="1"/>
  </x:cols>
  <x:sheetData>
    <x:row r="1" spans="1:9" ht="28" customHeight="1">
      <x:c r="A1" s="1" t="s">
        <x:v>392</x:v>
      </x:c>
      <x:c r="B1" s="1" t="s">
        <x:v>587</x:v>
      </x:c>
      <x:c r="C1" s="1" t="s">
        <x:v>593</x:v>
      </x:c>
      <x:c r="D1" s="1" t="s">
        <x:v>655</x:v>
      </x:c>
      <x:c r="E1" s="1" t="s">
        <x:v>427</x:v>
      </x:c>
      <x:c r="F1" s="1" t="s">
        <x:v>650</x:v>
      </x:c>
      <x:c r="G1" s="1" t="s">
        <x:v>504</x:v>
      </x:c>
      <x:c r="H1" s="1" t="s">
        <x:v>662</x:v>
      </x:c>
      <x:c r="I1" s="1" t="s">
        <x:v>423</x:v>
      </x:c>
    </x:row>
    <x:row r="2" spans="1:9" ht="36" customHeight="1">
      <x:c r="A2" s="2" t="s">
        <x:v>663</x:v>
      </x:c>
      <x:c r="B2" s="3" t="s">
        <x:v>704</x:v>
      </x:c>
      <x:c r="C2" s="3" t="s">
        <x:v>434</x:v>
      </x:c>
      <x:c r="D2" s="3" t="s">
        <x:v>611</x:v>
      </x:c>
      <x:c r="E2" s="2" t="s">
        <x:v>591</x:v>
      </x:c>
      <x:c r="F2" s="3"/>
      <x:c r="G2" s="4" t="b">
        <x:v>1</x:v>
      </x:c>
      <x:c r="H2" s="3" t="s">
        <x:v>509</x:v>
      </x:c>
      <x:c r="I2" s="3" t="s">
        <x:v>644</x:v>
      </x:c>
    </x:row>
    <x:row r="3" spans="1:9" ht="36" customHeight="1">
      <x:c r="A3" s="2" t="s">
        <x:v>634</x:v>
      </x:c>
      <x:c r="B3" s="3" t="s">
        <x:v>723</x:v>
      </x:c>
      <x:c r="C3" s="3" t="s">
        <x:v>396</x:v>
      </x:c>
      <x:c r="D3" s="3" t="s">
        <x:v>722</x:v>
      </x:c>
      <x:c r="E3" s="2" t="s">
        <x:v>591</x:v>
      </x:c>
      <x:c r="F3" s="3"/>
      <x:c r="G3" s="4" t="b">
        <x:v>1</x:v>
      </x:c>
      <x:c r="H3" s="3" t="s">
        <x:v>509</x:v>
      </x:c>
      <x:c r="I3" s="3" t="s">
        <x:v>644</x:v>
      </x:c>
    </x:row>
    <x:row r="4" spans="1:9" ht="36" customHeight="1">
      <x:c r="A4" s="2" t="s">
        <x:v>614</x:v>
      </x:c>
      <x:c r="B4" s="3" t="s">
        <x:v>61</x:v>
      </x:c>
      <x:c r="C4" s="3" t="s">
        <x:v>396</x:v>
      </x:c>
      <x:c r="D4" s="3" t="s">
        <x:v>722</x:v>
      </x:c>
      <x:c r="E4" s="2" t="s">
        <x:v>591</x:v>
      </x:c>
      <x:c r="F4" s="3"/>
      <x:c r="G4" s="4" t="b">
        <x:v>1</x:v>
      </x:c>
      <x:c r="H4" s="3" t="s">
        <x:v>509</x:v>
      </x:c>
      <x:c r="I4" s="3" t="s">
        <x:v>644</x:v>
      </x:c>
    </x:row>
    <x:row r="5" spans="1:9" ht="36" customHeight="1">
      <x:c r="A5" s="2" t="s">
        <x:v>646</x:v>
      </x:c>
      <x:c r="B5" s="3" t="s">
        <x:v>60</x:v>
      </x:c>
      <x:c r="C5" s="3" t="s">
        <x:v>396</x:v>
      </x:c>
      <x:c r="D5" s="3" t="s">
        <x:v>744</x:v>
      </x:c>
      <x:c r="E5" s="2" t="s">
        <x:v>591</x:v>
      </x:c>
      <x:c r="F5" s="3"/>
      <x:c r="G5" s="4" t="b">
        <x:v>1</x:v>
      </x:c>
      <x:c r="H5" s="3" t="s">
        <x:v>509</x:v>
      </x:c>
      <x:c r="I5" s="3" t="s">
        <x:v>736</x:v>
      </x:c>
    </x:row>
    <x:row r="6" spans="1:9" ht="36" customHeight="1">
      <x:c r="A6" s="2" t="s">
        <x:v>652</x:v>
      </x:c>
      <x:c r="B6" s="3" t="s">
        <x:v>66</x:v>
      </x:c>
      <x:c r="C6" s="3" t="s">
        <x:v>396</x:v>
      </x:c>
      <x:c r="D6" s="3" t="s">
        <x:v>181</x:v>
      </x:c>
      <x:c r="E6" s="2" t="s">
        <x:v>649</x:v>
      </x:c>
      <x:c r="F6" s="5">
        <x:v>46279</x:v>
      </x:c>
      <x:c r="G6" s="6" t="b">
        <x:v>0</x:v>
      </x:c>
      <x:c r="H6" s="3" t="s">
        <x:v>584</x:v>
      </x:c>
      <x:c r="I6" s="3" t="s">
        <x:v>697</x:v>
      </x:c>
    </x:row>
    <x:row r="7" spans="1:9" ht="36" customHeight="1">
      <x:c r="A7" s="2" t="s">
        <x:v>624</x:v>
      </x:c>
      <x:c r="B7" s="3" t="s">
        <x:v>67</x:v>
      </x:c>
      <x:c r="C7" s="3" t="s">
        <x:v>396</x:v>
      </x:c>
      <x:c r="D7" s="3" t="s">
        <x:v>235</x:v>
      </x:c>
      <x:c r="E7" s="2" t="s">
        <x:v>591</x:v>
      </x:c>
      <x:c r="F7" s="3"/>
      <x:c r="G7" s="4" t="b">
        <x:v>1</x:v>
      </x:c>
      <x:c r="H7" s="3" t="s">
        <x:v>584</x:v>
      </x:c>
      <x:c r="I7" s="3" t="s">
        <x:v>498</x:v>
      </x:c>
    </x:row>
  </x:sheetData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legacyDrawing r:id="rId1"/>
  <x:tableParts count="1">
    <x:tablePart r:id="rId2"/>
  </x:tableParts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0f6c6c"/>
    <x:pageSetUpPr autoPageBreaks="1" fitToPage="1"/>
  </x:sheetPr>
  <x:dimension ref="A1:K8"/>
  <x:sheetViews>
    <x:sheetView showGridLines="0" topLeftCell="A1" zoomScale="110" zoomScaleNormal="110" zoomScaleSheetLayoutView="110" workbookViewId="0">
      <x:pane xSplit="0" ySplit="1" topLeftCell="A2" activePane="bottomLeft" state="frozen"/>
      <x:selection pane="bottomLeft" activeCell="H9" activeCellId="0" sqref="H9:H9"/>
    </x:sheetView>
  </x:sheetViews>
  <x:sheetFormatPr defaultColWidth="8.796875" defaultRowHeight="16.39999999999999857891"/>
  <x:cols>
    <x:col min="1" max="1" width="10" customWidth="1"/>
    <x:col min="2" max="2" width="11" customWidth="1"/>
    <x:col min="3" max="3" width="29" customWidth="1"/>
    <x:col min="4" max="6" width="13" customWidth="1"/>
    <x:col min="7" max="7" width="52" customWidth="1"/>
    <x:col min="8" max="8" width="42" customWidth="1"/>
    <x:col min="9" max="9" width="10" customWidth="1"/>
    <x:col min="10" max="10" width="14" customWidth="1"/>
    <x:col min="11" max="11" width="16" customWidth="1"/>
  </x:cols>
  <x:sheetData>
    <x:row r="1" spans="1:11" ht="28" customHeight="1">
      <x:c r="A1" s="1" t="s">
        <x:v>452</x:v>
      </x:c>
      <x:c r="B1" s="1" t="s">
        <x:v>615</x:v>
      </x:c>
      <x:c r="C1" s="1" t="s">
        <x:v>658</x:v>
      </x:c>
      <x:c r="D1" s="1" t="s">
        <x:v>451</x:v>
      </x:c>
      <x:c r="E1" s="1" t="s">
        <x:v>613</x:v>
      </x:c>
      <x:c r="F1" s="1" t="s">
        <x:v>602</x:v>
      </x:c>
      <x:c r="G1" s="1" t="s">
        <x:v>673</x:v>
      </x:c>
      <x:c r="H1" s="1" t="s">
        <x:v>418</x:v>
      </x:c>
      <x:c r="I1" s="1" t="s">
        <x:v>625</x:v>
      </x:c>
      <x:c r="J1" s="1" t="s">
        <x:v>388</x:v>
      </x:c>
      <x:c r="K1" s="1" t="s">
        <x:v>665</x:v>
      </x:c>
    </x:row>
    <x:row r="2" spans="1:11" ht="36" customHeight="1">
      <x:c r="A2" s="2" t="s">
        <x:v>390</x:v>
      </x:c>
      <x:c r="B2" s="3" t="s">
        <x:v>514</x:v>
      </x:c>
      <x:c r="C2" s="3" t="s">
        <x:v>500</x:v>
      </x:c>
      <x:c r="D2" s="7">
        <x:v>46091</x:v>
      </x:c>
      <x:c r="E2" s="7">
        <x:v>46276</x:v>
      </x:c>
      <x:c r="F2" s="7">
        <x:v>46309</x:v>
      </x:c>
      <x:c r="G2" s="3" t="s">
        <x:v>21</x:v>
      </x:c>
      <x:c r="H2" s="3" t="s">
        <x:v>52</x:v>
      </x:c>
      <x:c r="I2" s="2" t="s">
        <x:v>596</x:v>
      </x:c>
      <x:c r="J2" s="2" t="s">
        <x:v>680</x:v>
      </x:c>
      <x:c r="K2" s="2" t="s">
        <x:v>573</x:v>
      </x:c>
    </x:row>
    <x:row r="3" spans="1:11" ht="36" customHeight="1">
      <x:c r="A3" s="2" t="s">
        <x:v>447</x:v>
      </x:c>
      <x:c r="B3" s="3" t="s">
        <x:v>514</x:v>
      </x:c>
      <x:c r="C3" s="3" t="s">
        <x:v>207</x:v>
      </x:c>
      <x:c r="D3" s="7">
        <x:v>46275</x:v>
      </x:c>
      <x:c r="E3" s="7">
        <x:v>46276</x:v>
      </x:c>
      <x:c r="F3" s="7">
        <x:v>46309</x:v>
      </x:c>
      <x:c r="G3" s="3" t="s">
        <x:v>542</x:v>
      </x:c>
      <x:c r="H3" s="3" t="s">
        <x:v>494</x:v>
      </x:c>
      <x:c r="I3" s="2" t="s">
        <x:v>596</x:v>
      </x:c>
      <x:c r="J3" s="2" t="s">
        <x:v>405</x:v>
      </x:c>
      <x:c r="K3" s="2" t="s">
        <x:v>174</x:v>
      </x:c>
    </x:row>
    <x:row r="4" spans="1:11" ht="36" customHeight="1">
      <x:c r="A4" s="2" t="s">
        <x:v>342</x:v>
      </x:c>
      <x:c r="B4" s="3" t="s">
        <x:v>514</x:v>
      </x:c>
      <x:c r="C4" s="3" t="s">
        <x:v>222</x:v>
      </x:c>
      <x:c r="D4" s="7">
        <x:v>46204</x:v>
      </x:c>
      <x:c r="E4" s="7">
        <x:v>46204</x:v>
      </x:c>
      <x:c r="F4" s="7">
        <x:v>46309</x:v>
      </x:c>
      <x:c r="G4" s="3" t="s">
        <x:v>306</x:v>
      </x:c>
      <x:c r="H4" s="3" t="s">
        <x:v>492</x:v>
      </x:c>
      <x:c r="I4" s="2" t="s">
        <x:v>596</x:v>
      </x:c>
      <x:c r="J4" s="2" t="s">
        <x:v>601</x:v>
      </x:c>
      <x:c r="K4" s="2" t="s">
        <x:v>709</x:v>
      </x:c>
    </x:row>
    <x:row r="5" spans="1:11" ht="36" customHeight="1">
      <x:c r="A5" s="2" t="s">
        <x:v>393</x:v>
      </x:c>
      <x:c r="B5" s="3" t="s">
        <x:v>335</x:v>
      </x:c>
      <x:c r="C5" s="3" t="s">
        <x:v>72</x:v>
      </x:c>
      <x:c r="D5" s="5">
        <x:v>46135</x:v>
      </x:c>
      <x:c r="E5" s="7"/>
      <x:c r="F5" s="7">
        <x:v>46286</x:v>
      </x:c>
      <x:c r="G5" s="12" t="s">
        <x:v>310</x:v>
      </x:c>
      <x:c r="H5" s="3" t="s">
        <x:v>702</x:v>
      </x:c>
      <x:c r="I5" s="2" t="s">
        <x:v>596</x:v>
      </x:c>
      <x:c r="J5" s="2" t="s">
        <x:v>394</x:v>
      </x:c>
      <x:c r="K5" s="2" t="s">
        <x:v>568</x:v>
      </x:c>
    </x:row>
    <x:row r="6" spans="1:11" ht="49.20000000000000284217" customHeight="1">
      <x:c r="A6" s="8" t="s">
        <x:v>435</x:v>
      </x:c>
      <x:c r="B6" s="9" t="s">
        <x:v>570</x:v>
      </x:c>
      <x:c r="C6" s="9" t="s">
        <x:v>293</x:v>
      </x:c>
      <x:c r="D6" s="5">
        <x:v>45253</x:v>
      </x:c>
      <x:c r="E6" s="10"/>
      <x:c r="F6" s="10">
        <x:v>46309</x:v>
      </x:c>
      <x:c r="G6" s="11" t="s">
        <x:v>75</x:v>
      </x:c>
      <x:c r="H6" s="9" t="s">
        <x:v>6</x:v>
      </x:c>
      <x:c r="I6" s="8" t="s">
        <x:v>205</x:v>
      </x:c>
      <x:c r="J6" s="8" t="s">
        <x:v>562</x:v>
      </x:c>
      <x:c r="K6" s="8" t="s">
        <x:v>402</x:v>
      </x:c>
    </x:row>
    <x:row r="7" spans="1:11" ht="51.60000000000000142109" customHeight="1">
      <x:c r="A7" s="8" t="s">
        <x:v>325</x:v>
      </x:c>
      <x:c r="B7" s="9" t="s">
        <x:v>356</x:v>
      </x:c>
      <x:c r="C7" s="9" t="s">
        <x:v>90</x:v>
      </x:c>
      <x:c r="D7" s="5">
        <x:v>45944</x:v>
      </x:c>
      <x:c r="E7" s="10"/>
      <x:c r="F7" s="10">
        <x:v>46303</x:v>
      </x:c>
      <x:c r="G7" s="13" t="s">
        <x:v>690</x:v>
      </x:c>
      <x:c r="H7" s="9" t="s">
        <x:v>216</x:v>
      </x:c>
      <x:c r="I7" s="8" t="s">
        <x:v>373</x:v>
      </x:c>
      <x:c r="J7" s="8" t="s">
        <x:v>439</x:v>
      </x:c>
      <x:c r="K7" s="8" t="s">
        <x:v>565</x:v>
      </x:c>
    </x:row>
    <x:row r="8" spans="1:11" s="14" customFormat="1" ht="36" customHeight="1">
      <x:c r="A8" s="8" t="s">
        <x:v>419</x:v>
      </x:c>
      <x:c r="B8" s="9" t="s">
        <x:v>570</x:v>
      </x:c>
      <x:c r="C8" s="9" t="s">
        <x:v>24</x:v>
      </x:c>
      <x:c r="D8" s="5">
        <x:v>46015</x:v>
      </x:c>
      <x:c r="E8" s="10"/>
      <x:c r="F8" s="10">
        <x:v>46307</x:v>
      </x:c>
      <x:c r="G8" s="15" t="s">
        <x:v>76</x:v>
      </x:c>
      <x:c r="H8" s="9" t="s">
        <x:v>23</x:v>
      </x:c>
      <x:c r="I8" s="8" t="s">
        <x:v>564</x:v>
      </x:c>
      <x:c r="J8" s="8" t="s">
        <x:v>574</x:v>
      </x:c>
      <x:c r="K8" s="8" t="s">
        <x:v>177</x:v>
      </x:c>
    </x:row>
  </x:sheetData>
  <x:hyperlinks>
    <x:hyperlink ref="G6:G6" r:id="rId1"/>
    <x:hyperlink ref="G5:G5" r:id="rId2"/>
    <x:hyperlink ref="G7:G7" r:id="rId3"/>
    <x:hyperlink ref="G8:G8" r:id="rId4"/>
  </x:hyperlinks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tableParts count="1">
    <x:tablePart r:id="rId5"/>
  </x:tableParts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1e3a5f"/>
    <x:pageSetUpPr autoPageBreaks="1" fitToPage="1"/>
  </x:sheetPr>
  <x:dimension ref="A1:G4"/>
  <x:sheetViews>
    <x:sheetView showGridLines="0" topLeftCell="A1" zoomScale="110" zoomScaleNormal="110" zoomScaleSheetLayoutView="110" workbookViewId="0">
      <x:pane xSplit="0" ySplit="1" topLeftCell="A2" activePane="bottomLeft" state="frozen"/>
      <x:selection pane="bottomLeft" activeCell="G6" activeCellId="0" sqref="G6:G6"/>
    </x:sheetView>
  </x:sheetViews>
  <x:sheetFormatPr defaultColWidth="8.796875" defaultRowHeight="16.39999999999999857891"/>
  <x:cols>
    <x:col min="1" max="1" width="10" customWidth="1"/>
    <x:col min="2" max="2" width="14" customWidth="1"/>
    <x:col min="3" max="3" width="38" customWidth="1"/>
    <x:col min="4" max="4" width="31.54296875" customWidth="1"/>
    <x:col min="5" max="5" width="21" customWidth="1"/>
    <x:col min="6" max="6" width="10" customWidth="1"/>
    <x:col min="7" max="7" width="32" customWidth="1"/>
  </x:cols>
  <x:sheetData>
    <x:row r="1" spans="1:7" ht="28" customHeight="1">
      <x:c r="A1" s="16" t="s">
        <x:v>384</x:v>
      </x:c>
      <x:c r="B1" s="16" t="s">
        <x:v>385</x:v>
      </x:c>
      <x:c r="C1" s="16" t="s">
        <x:v>415</x:v>
      </x:c>
      <x:c r="D1" s="16" t="s">
        <x:v>511</x:v>
      </x:c>
      <x:c r="E1" s="16" t="s">
        <x:v>372</x:v>
      </x:c>
      <x:c r="F1" s="16" t="s">
        <x:v>389</x:v>
      </x:c>
      <x:c r="G1" s="16" t="s">
        <x:v>381</x:v>
      </x:c>
    </x:row>
    <x:row r="2" spans="1:7" ht="56" customHeight="1">
      <x:c r="A2" s="17" t="s">
        <x:v>448</x:v>
      </x:c>
      <x:c r="B2" s="18" t="s">
        <x:v>502</x:v>
      </x:c>
      <x:c r="C2" s="18" t="s">
        <x:v>64</x:v>
      </x:c>
      <x:c r="D2" s="18" t="s">
        <x:v>551</x:v>
      </x:c>
      <x:c r="E2" s="18" t="s">
        <x:v>183</x:v>
      </x:c>
      <x:c r="F2" s="17" t="s">
        <x:v>597</x:v>
      </x:c>
      <x:c r="G2" s="18" t="s">
        <x:v>237</x:v>
      </x:c>
    </x:row>
    <x:row r="3" spans="1:7" ht="56" customHeight="1">
      <x:c r="A3" s="17" t="s">
        <x:v>353</x:v>
      </x:c>
      <x:c r="B3" s="18" t="s">
        <x:v>495</x:v>
      </x:c>
      <x:c r="C3" s="18" t="s">
        <x:v>691</x:v>
      </x:c>
      <x:c r="D3" s="18" t="s">
        <x:v>59</x:v>
      </x:c>
      <x:c r="E3" s="18" t="s">
        <x:v>189</x:v>
      </x:c>
      <x:c r="F3" s="17" t="s">
        <x:v>597</x:v>
      </x:c>
      <x:c r="G3" s="18" t="s">
        <x:v>747</x:v>
      </x:c>
    </x:row>
    <x:row r="4" spans="1:7" ht="56" customHeight="1">
      <x:c r="A4" s="17" t="s">
        <x:v>358</x:v>
      </x:c>
      <x:c r="B4" s="18" t="s">
        <x:v>440</x:v>
      </x:c>
      <x:c r="C4" s="18" t="s">
        <x:v>187</x:v>
      </x:c>
      <x:c r="D4" s="18" t="s">
        <x:v>41</x:v>
      </x:c>
      <x:c r="E4" s="18" t="s">
        <x:v>219</x:v>
      </x:c>
      <x:c r="F4" s="17" t="s">
        <x:v>597</x:v>
      </x:c>
      <x:c r="G4" s="18" t="s">
        <x:v>750</x:v>
      </x:c>
    </x:row>
  </x:sheetData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tableParts count="1">
    <x:tablePart r:id="rId1"/>
  </x:tableParts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8a5a12"/>
    <x:pageSetUpPr autoPageBreaks="1" fitToPage="1"/>
  </x:sheetPr>
  <x:dimension ref="A1:K25"/>
  <x:sheetViews>
    <x:sheetView showGridLines="0" tabSelected="1" topLeftCell="A1" zoomScaleNormal="110" zoomScaleSheetLayoutView="100" workbookViewId="0">
      <x:pane xSplit="0" ySplit="1" topLeftCell="A2" activePane="bottomLeft" state="frozen"/>
      <x:selection pane="bottomLeft" activeCell="G3" activeCellId="0" sqref="G3:G3"/>
    </x:sheetView>
  </x:sheetViews>
  <x:sheetFormatPr defaultColWidth="8.796875" defaultRowHeight="16.39999999999999857891"/>
  <x:cols>
    <x:col min="1" max="2" width="10" customWidth="1"/>
    <x:col min="3" max="3" width="24" customWidth="1"/>
    <x:col min="4" max="5" width="28" customWidth="1"/>
    <x:col min="6" max="6" width="10" customWidth="1"/>
    <x:col min="7" max="7" width="23" customWidth="1"/>
    <x:col min="8" max="8" width="28" customWidth="1"/>
    <x:col min="10" max="10" width="18" customWidth="1"/>
    <x:col min="11" max="11" width="16" customWidth="1"/>
  </x:cols>
  <x:sheetData>
    <x:row r="1" spans="1:11" ht="28" customHeight="1">
      <x:c r="A1" s="1" t="s">
        <x:v>323</x:v>
      </x:c>
      <x:c r="B1" s="1" t="s">
        <x:v>605</x:v>
      </x:c>
      <x:c r="C1" s="1" t="s">
        <x:v>595</x:v>
      </x:c>
      <x:c r="D1" s="1" t="s">
        <x:v>350</x:v>
      </x:c>
      <x:c r="E1" s="1" t="s">
        <x:v>324</x:v>
      </x:c>
      <x:c r="F1" s="1" t="s">
        <x:v>620</x:v>
      </x:c>
      <x:c r="G1" s="1" t="s">
        <x:v>423</x:v>
      </x:c>
      <x:c r="H1" s="1" t="s">
        <x:v>683</x:v>
      </x:c>
      <x:c r="J1" t="s">
        <x:v>160</x:v>
      </x:c>
      <x:c r="K1" t="s">
        <x:v>508</x:v>
      </x:c>
    </x:row>
    <x:row r="2" spans="1:11" ht="68" customHeight="1">
      <x:c r="A2" s="2" t="s">
        <x:v>628</x:v>
      </x:c>
      <x:c r="B2" s="3" t="s">
        <x:v>631</x:v>
      </x:c>
      <x:c r="C2" s="3" t="s">
        <x:v>225</x:v>
      </x:c>
      <x:c r="D2" s="3" t="s">
        <x:v>172</x:v>
      </x:c>
      <x:c r="E2" s="3" t="s">
        <x:v>271</x:v>
      </x:c>
      <x:c r="F2" s="2" t="s">
        <x:v>660</x:v>
      </x:c>
      <x:c r="G2" s="3" t="s">
        <x:v>234</x:v>
      </x:c>
      <x:c r="H2" s="3" t="s">
        <x:v>700</x:v>
      </x:c>
      <x:c r="J2" t="s">
        <x:v>660</x:v>
      </x:c>
      <x:c r="K2">
        <x:f>COUNTIF(F$2:F$25,"적합")</x:f>
        <x:v>8</x:v>
      </x:c>
    </x:row>
    <x:row r="3" spans="1:11" ht="133.80000000000001136868" customHeight="1">
      <x:c r="A3" s="2" t="s">
        <x:v>666</x:v>
      </x:c>
      <x:c r="B3" s="3" t="s">
        <x:v>329</x:v>
      </x:c>
      <x:c r="C3" s="3" t="s">
        <x:v>378</x:v>
      </x:c>
      <x:c r="D3" s="3" t="s">
        <x:v>182</x:v>
      </x:c>
      <x:c r="E3" s="3" t="s">
        <x:v>159</x:v>
      </x:c>
      <x:c r="F3" s="2" t="s">
        <x:v>660</x:v>
      </x:c>
      <x:c r="G3" s="3" t="s">
        <x:v>3</x:v>
      </x:c>
      <x:c r="H3" s="3" t="s">
        <x:v>100</x:v>
      </x:c>
      <x:c r="J3" t="s">
        <x:v>589</x:v>
      </x:c>
      <x:c r="K3">
        <x:f>COUNTIF(F$2:F$25,"미흡")</x:f>
        <x:v>13</x:v>
      </x:c>
    </x:row>
    <x:row r="4" spans="1:11" ht="68" customHeight="1">
      <x:c r="A4" s="2" t="s">
        <x:v>670</x:v>
      </x:c>
      <x:c r="B4" s="3" t="s">
        <x:v>617</x:v>
      </x:c>
      <x:c r="C4" s="3" t="s">
        <x:v>535</x:v>
      </x:c>
      <x:c r="D4" s="3" t="s">
        <x:v>420</x:v>
      </x:c>
      <x:c r="E4" s="3" t="s">
        <x:v>692</x:v>
      </x:c>
      <x:c r="F4" s="2" t="s">
        <x:v>660</x:v>
      </x:c>
      <x:c r="G4" s="3" t="s">
        <x:v>363</x:v>
      </x:c>
      <x:c r="H4" s="3" t="s">
        <x:v>200</x:v>
      </x:c>
      <x:c r="J4" t="s">
        <x:v>644</x:v>
      </x:c>
      <x:c r="K4">
        <x:f>COUNTIF(F$2:F$25,"미확인")</x:f>
        <x:v>2</x:v>
      </x:c>
    </x:row>
    <x:row r="5" spans="1:11" ht="68" customHeight="1">
      <x:c r="A5" s="2" t="s">
        <x:v>667</x:v>
      </x:c>
      <x:c r="B5" s="3" t="s">
        <x:v>645</x:v>
      </x:c>
      <x:c r="C5" s="3" t="s">
        <x:v>575</x:v>
      </x:c>
      <x:c r="D5" s="3" t="s">
        <x:v>580</x:v>
      </x:c>
      <x:c r="E5" s="3" t="s">
        <x:v>287</x:v>
      </x:c>
      <x:c r="F5" s="2" t="s">
        <x:v>660</x:v>
      </x:c>
      <x:c r="G5" s="3" t="s">
        <x:v>696</x:v>
      </x:c>
      <x:c r="H5" s="3" t="s">
        <x:v>227</x:v>
      </x:c>
      <x:c r="J5" t="s">
        <x:v>357</x:v>
      </x:c>
      <x:c r="K5">
        <x:f>COUNTIF(F$2:F$25,"적용 제외")</x:f>
        <x:v>1</x:v>
      </x:c>
    </x:row>
    <x:row r="6" spans="1:11" ht="68" customHeight="1">
      <x:c r="A6" s="2" t="s">
        <x:v>647</x:v>
      </x:c>
      <x:c r="B6" s="3" t="s">
        <x:v>375</x:v>
      </x:c>
      <x:c r="C6" s="3" t="s">
        <x:v>198</x:v>
      </x:c>
      <x:c r="D6" s="3" t="s">
        <x:v>404</x:v>
      </x:c>
      <x:c r="E6" s="3" t="s">
        <x:v>56</x:v>
      </x:c>
      <x:c r="F6" s="2" t="s">
        <x:v>660</x:v>
      </x:c>
      <x:c r="G6" s="3" t="s">
        <x:v>737</x:v>
      </x:c>
      <x:c r="H6" s="3" t="s">
        <x:v>703</x:v>
      </x:c>
      <x:c r="J6" t="s">
        <x:v>582</x:v>
      </x:c>
      <x:c r="K6">
        <x:f>K2+K3+K4+K5</x:f>
        <x:v>24</x:v>
      </x:c>
    </x:row>
    <x:row r="7" spans="1:8" ht="68" customHeight="1">
      <x:c r="A7" s="2" t="s">
        <x:v>661</x:v>
      </x:c>
      <x:c r="B7" s="3" t="s">
        <x:v>348</x:v>
      </x:c>
      <x:c r="C7" s="3" t="s">
        <x:v>563</x:v>
      </x:c>
      <x:c r="D7" s="3" t="s">
        <x:v>569</x:v>
      </x:c>
      <x:c r="E7" s="3" t="s">
        <x:v>276</x:v>
      </x:c>
      <x:c r="F7" s="2" t="s">
        <x:v>589</x:v>
      </x:c>
      <x:c r="G7" s="3" t="s">
        <x:v>70</x:v>
      </x:c>
      <x:c r="H7" s="3" t="s">
        <x:v>62</x:v>
      </x:c>
    </x:row>
    <x:row r="8" spans="1:8" ht="68" customHeight="1">
      <x:c r="A8" s="2" t="s">
        <x:v>641</x:v>
      </x:c>
      <x:c r="B8" s="3" t="s">
        <x:v>341</x:v>
      </x:c>
      <x:c r="C8" s="3" t="s">
        <x:v>382</x:v>
      </x:c>
      <x:c r="D8" s="3" t="s">
        <x:v>578</x:v>
      </x:c>
      <x:c r="E8" s="3" t="s">
        <x:v>307</x:v>
      </x:c>
      <x:c r="F8" s="2" t="s">
        <x:v>589</x:v>
      </x:c>
      <x:c r="G8" s="3" t="s">
        <x:v>711</x:v>
      </x:c>
      <x:c r="H8" s="3" t="s">
        <x:v>185</x:v>
      </x:c>
    </x:row>
    <x:row r="9" spans="1:8" ht="68" customHeight="1">
      <x:c r="A9" s="2" t="s">
        <x:v>674</x:v>
      </x:c>
      <x:c r="B9" s="3" t="s">
        <x:v>612</x:v>
      </x:c>
      <x:c r="C9" s="3" t="s">
        <x:v>527</x:v>
      </x:c>
      <x:c r="D9" s="3" t="s">
        <x:v>559</x:v>
      </x:c>
      <x:c r="E9" s="3" t="s">
        <x:v>50</x:v>
      </x:c>
      <x:c r="F9" s="2" t="s">
        <x:v>644</x:v>
      </x:c>
      <x:c r="G9" s="3" t="s">
        <x:v>212</x:v>
      </x:c>
      <x:c r="H9" s="3" t="s">
        <x:v>743</x:v>
      </x:c>
    </x:row>
    <x:row r="10" spans="1:8" ht="68" customHeight="1">
      <x:c r="A10" s="2" t="s">
        <x:v>619</x:v>
      </x:c>
      <x:c r="B10" s="3" t="s">
        <x:v>383</x:v>
      </x:c>
      <x:c r="C10" s="3" t="s">
        <x:v>413</x:v>
      </x:c>
      <x:c r="D10" s="3" t="s">
        <x:v>223</x:v>
      </x:c>
      <x:c r="E10" s="3" t="s">
        <x:v>36</x:v>
      </x:c>
      <x:c r="F10" s="2" t="s">
        <x:v>660</x:v>
      </x:c>
      <x:c r="G10" s="3" t="s">
        <x:v>244</x:v>
      </x:c>
      <x:c r="H10" s="3" t="s">
        <x:v>242</x:v>
      </x:c>
    </x:row>
    <x:row r="11" spans="1:8" ht="68" customHeight="1">
      <x:c r="A11" s="2" t="s">
        <x:v>588</x:v>
      </x:c>
      <x:c r="B11" s="3" t="s">
        <x:v>352</x:v>
      </x:c>
      <x:c r="C11" s="3" t="s">
        <x:v>199</x:v>
      </x:c>
      <x:c r="D11" s="3" t="s">
        <x:v>409</x:v>
      </x:c>
      <x:c r="E11" s="3" t="s">
        <x:v>5</x:v>
      </x:c>
      <x:c r="F11" s="2" t="s">
        <x:v>589</x:v>
      </x:c>
      <x:c r="G11" s="3" t="s">
        <x:v>32</x:v>
      </x:c>
      <x:c r="H11" s="3" t="s">
        <x:v>468</x:v>
      </x:c>
    </x:row>
    <x:row r="12" spans="1:8" ht="68" customHeight="1">
      <x:c r="A12" s="2" t="s">
        <x:v>657</x:v>
      </x:c>
      <x:c r="B12" s="3" t="s">
        <x:v>369</x:v>
      </x:c>
      <x:c r="C12" s="3" t="s">
        <x:v>247</x:v>
      </x:c>
      <x:c r="D12" s="3" t="s">
        <x:v>370</x:v>
      </x:c>
      <x:c r="E12" s="3" t="s">
        <x:v>57</x:v>
      </x:c>
      <x:c r="F12" s="2" t="s">
        <x:v>589</x:v>
      </x:c>
      <x:c r="G12" s="3" t="s">
        <x:v>49</x:v>
      </x:c>
      <x:c r="H12" s="3" t="s">
        <x:v>55</x:v>
      </x:c>
    </x:row>
    <x:row r="13" spans="1:8" ht="68" customHeight="1">
      <x:c r="A13" s="2" t="s">
        <x:v>594</x:v>
      </x:c>
      <x:c r="B13" s="3" t="s">
        <x:v>410</x:v>
      </x:c>
      <x:c r="C13" s="3" t="s">
        <x:v>567</x:v>
      </x:c>
      <x:c r="D13" s="3" t="s">
        <x:v>577</x:v>
      </x:c>
      <x:c r="E13" s="3" t="s">
        <x:v>42</x:v>
      </x:c>
      <x:c r="F13" s="2" t="s">
        <x:v>589</x:v>
      </x:c>
      <x:c r="G13" s="3" t="s">
        <x:v>721</x:v>
      </x:c>
      <x:c r="H13" s="3" t="s">
        <x:v>689</x:v>
      </x:c>
    </x:row>
    <x:row r="14" spans="1:8" ht="68" customHeight="1">
      <x:c r="A14" s="2" t="s">
        <x:v>633</x:v>
      </x:c>
      <x:c r="B14" s="3" t="s">
        <x:v>338</x:v>
      </x:c>
      <x:c r="C14" s="3" t="s">
        <x:v>561</x:v>
      </x:c>
      <x:c r="D14" s="3" t="s">
        <x:v>213</x:v>
      </x:c>
      <x:c r="E14" s="3" t="s">
        <x:v>695</x:v>
      </x:c>
      <x:c r="F14" s="2" t="s">
        <x:v>589</x:v>
      </x:c>
      <x:c r="G14" s="3" t="s">
        <x:v>711</x:v>
      </x:c>
      <x:c r="H14" s="3" t="s">
        <x:v>706</x:v>
      </x:c>
    </x:row>
    <x:row r="15" spans="1:8" ht="68" customHeight="1">
      <x:c r="A15" s="2" t="s">
        <x:v>668</x:v>
      </x:c>
      <x:c r="B15" s="3" t="s">
        <x:v>344</x:v>
      </x:c>
      <x:c r="C15" s="3" t="s">
        <x:v>204</x:v>
      </x:c>
      <x:c r="D15" s="3" t="s">
        <x:v>411</x:v>
      </x:c>
      <x:c r="E15" s="3" t="s">
        <x:v>262</x:v>
      </x:c>
      <x:c r="F15" s="2" t="s">
        <x:v>589</x:v>
      </x:c>
      <x:c r="G15" s="3" t="s">
        <x:v>498</x:v>
      </x:c>
      <x:c r="H15" s="3" t="s">
        <x:v>73</x:v>
      </x:c>
    </x:row>
    <x:row r="16" spans="1:8" ht="68" customHeight="1">
      <x:c r="A16" s="2" t="s">
        <x:v>640</x:v>
      </x:c>
      <x:c r="B16" s="3" t="s">
        <x:v>376</x:v>
      </x:c>
      <x:c r="C16" s="3" t="s">
        <x:v>538</x:v>
      </x:c>
      <x:c r="D16" s="3" t="s">
        <x:v>333</x:v>
      </x:c>
      <x:c r="E16" s="3" t="s">
        <x:v>34</x:v>
      </x:c>
      <x:c r="F16" s="2" t="s">
        <x:v>589</x:v>
      </x:c>
      <x:c r="G16" s="3" t="s">
        <x:v>526</x:v>
      </x:c>
      <x:c r="H16" s="3" t="s">
        <x:v>291</x:v>
      </x:c>
    </x:row>
    <x:row r="17" spans="1:8" ht="68" customHeight="1">
      <x:c r="A17" s="2" t="s">
        <x:v>626</x:v>
      </x:c>
      <x:c r="B17" s="3" t="s">
        <x:v>414</x:v>
      </x:c>
      <x:c r="C17" s="3" t="s">
        <x:v>540</x:v>
      </x:c>
      <x:c r="D17" s="3" t="s">
        <x:v>321</x:v>
      </x:c>
      <x:c r="E17" s="3" t="s">
        <x:v>54</x:v>
      </x:c>
      <x:c r="F17" s="2" t="s">
        <x:v>589</x:v>
      </x:c>
      <x:c r="G17" s="3"/>
      <x:c r="H17" s="3" t="s">
        <x:v>192</x:v>
      </x:c>
    </x:row>
    <x:row r="18" spans="1:8" ht="68" customHeight="1">
      <x:c r="A18" s="2" t="s">
        <x:v>618</x:v>
      </x:c>
      <x:c r="B18" s="3" t="s">
        <x:v>347</x:v>
      </x:c>
      <x:c r="C18" s="3" t="s">
        <x:v>208</x:v>
      </x:c>
      <x:c r="D18" s="3" t="s">
        <x:v>525</x:v>
      </x:c>
      <x:c r="E18" s="3" t="s">
        <x:v>304</x:v>
      </x:c>
      <x:c r="F18" s="2" t="s">
        <x:v>589</x:v>
      </x:c>
      <x:c r="G18" s="3" t="s">
        <x:v>221</x:v>
      </x:c>
      <x:c r="H18" s="3" t="s">
        <x:v>698</x:v>
      </x:c>
    </x:row>
    <x:row r="19" spans="1:8" ht="68" customHeight="1">
      <x:c r="A19" s="2" t="s">
        <x:v>672</x:v>
      </x:c>
      <x:c r="B19" s="3" t="s">
        <x:v>450</x:v>
      </x:c>
      <x:c r="C19" s="3" t="s">
        <x:v>224</x:v>
      </x:c>
      <x:c r="D19" s="3" t="s">
        <x:v>202</x:v>
      </x:c>
      <x:c r="E19" s="3" t="s">
        <x:v>544</x:v>
      </x:c>
      <x:c r="F19" s="2" t="s">
        <x:v>660</x:v>
      </x:c>
      <x:c r="G19" s="3" t="s">
        <x:v>212</x:v>
      </x:c>
      <x:c r="H19" s="3" t="s">
        <x:v>742</x:v>
      </x:c>
    </x:row>
    <x:row r="20" spans="1:8" ht="68" customHeight="1">
      <x:c r="A20" s="2" t="s">
        <x:v>609</x:v>
      </x:c>
      <x:c r="B20" s="3" t="s">
        <x:v>345</x:v>
      </x:c>
      <x:c r="C20" s="3" t="s">
        <x:v>513</x:v>
      </x:c>
      <x:c r="D20" s="3" t="s">
        <x:v>523</x:v>
      </x:c>
      <x:c r="E20" s="3" t="s">
        <x:v>311</x:v>
      </x:c>
      <x:c r="F20" s="2" t="s">
        <x:v>589</x:v>
      </x:c>
      <x:c r="G20" s="3" t="s">
        <x:v>745</x:v>
      </x:c>
      <x:c r="H20" s="3" t="s">
        <x:v>292</x:v>
      </x:c>
    </x:row>
    <x:row r="21" spans="1:8" ht="68" customHeight="1">
      <x:c r="A21" s="2" t="s">
        <x:v>610</x:v>
      </x:c>
      <x:c r="B21" s="3" t="s">
        <x:v>337</x:v>
      </x:c>
      <x:c r="C21" s="3" t="s">
        <x:v>421</x:v>
      </x:c>
      <x:c r="D21" s="3" t="s">
        <x:v>332</x:v>
      </x:c>
      <x:c r="E21" s="3" t="s">
        <x:v>584</x:v>
      </x:c>
      <x:c r="F21" s="2" t="s">
        <x:v>644</x:v>
      </x:c>
      <x:c r="G21" s="3"/>
      <x:c r="H21" s="3" t="s">
        <x:v>176</x:v>
      </x:c>
    </x:row>
    <x:row r="22" spans="1:8" ht="68" customHeight="1">
      <x:c r="A22" s="2" t="s">
        <x:v>643</x:v>
      </x:c>
      <x:c r="B22" s="3" t="s">
        <x:v>377</x:v>
      </x:c>
      <x:c r="C22" s="3" t="s">
        <x:v>517</x:v>
      </x:c>
      <x:c r="D22" s="3" t="s">
        <x:v>505</x:v>
      </x:c>
      <x:c r="E22" s="3" t="s">
        <x:v>7</x:v>
      </x:c>
      <x:c r="F22" s="2" t="s">
        <x:v>660</x:v>
      </x:c>
      <x:c r="G22" s="3" t="s">
        <x:v>20</x:v>
      </x:c>
      <x:c r="H22" s="3" t="s">
        <x:v>30</x:v>
      </x:c>
    </x:row>
    <x:row r="23" spans="1:8" ht="68" customHeight="1">
      <x:c r="A23" s="2" t="s">
        <x:v>637</x:v>
      </x:c>
      <x:c r="B23" s="3" t="s">
        <x:v>444</x:v>
      </x:c>
      <x:c r="C23" s="3" t="s">
        <x:v>455</x:v>
      </x:c>
      <x:c r="D23" s="3" t="s">
        <x:v>531</x:v>
      </x:c>
      <x:c r="E23" s="3" t="s">
        <x:v>457</x:v>
      </x:c>
      <x:c r="F23" s="2" t="s">
        <x:v>589</x:v>
      </x:c>
      <x:c r="G23" s="3" t="s">
        <x:v>232</x:v>
      </x:c>
      <x:c r="H23" s="3" t="s">
        <x:v>245</x:v>
      </x:c>
    </x:row>
    <x:row r="24" spans="1:8" ht="68" customHeight="1">
      <x:c r="A24" s="2" t="s">
        <x:v>669</x:v>
      </x:c>
      <x:c r="B24" s="3" t="s">
        <x:v>336</x:v>
      </x:c>
      <x:c r="C24" s="3" t="s">
        <x:v>210</x:v>
      </x:c>
      <x:c r="D24" s="3" t="s">
        <x:v>173</x:v>
      </x:c>
      <x:c r="E24" s="3" t="s">
        <x:v>65</x:v>
      </x:c>
      <x:c r="F24" s="2" t="s">
        <x:v>357</x:v>
      </x:c>
      <x:c r="G24" s="3"/>
      <x:c r="H24" s="3" t="s">
        <x:v>701</x:v>
      </x:c>
    </x:row>
    <x:row r="25" spans="1:8" ht="68" customHeight="1">
      <x:c r="A25" s="2" t="s">
        <x:v>607</x:v>
      </x:c>
      <x:c r="B25" s="3" t="s">
        <x:v>362</x:v>
      </x:c>
      <x:c r="C25" s="3" t="s">
        <x:v>532</x:v>
      </x:c>
      <x:c r="D25" s="3" t="s">
        <x:v>209</x:v>
      </x:c>
      <x:c r="E25" s="3" t="s">
        <x:v>2</x:v>
      </x:c>
      <x:c r="F25" s="2" t="s">
        <x:v>589</x:v>
      </x:c>
      <x:c r="G25" s="3" t="s">
        <x:v>22</x:v>
      </x:c>
      <x:c r="H25" s="3" t="s">
        <x:v>31</x:v>
      </x:c>
    </x:row>
  </x:sheetData>
  <x:conditionalFormatting sqref="F2:F25">
    <x:cfRule type="cellIs" dxfId="4" priority="5" operator="equal">
      <x:formula>"미실시"</x:formula>
    </x:cfRule>
    <x:cfRule type="cellIs" dxfId="3" priority="4" operator="equal">
      <x:formula>"적용 제외"</x:formula>
    </x:cfRule>
    <x:cfRule type="cellIs" dxfId="2" priority="3" operator="equal">
      <x:formula>"미확인"</x:formula>
    </x:cfRule>
    <x:cfRule type="cellIs" dxfId="1" priority="2" operator="equal">
      <x:formula>"미흡"</x:formula>
    </x:cfRule>
    <x:cfRule type="cellIs" dxfId="0" priority="1" operator="equal">
      <x:formula>"적합"</x:formula>
    </x:cfRule>
  </x:conditionalFormatting>
  <x:dataValidations count="1">
    <x:dataValidation type="list" allowBlank="1" showInputMessage="1" showErrorMessage="1" errorTitle="판정 값" error="적합, 미흡, 미확인, 적용 제외, 미실시 중에서만 고르세요." promptTitle="판정" prompt="11장 시험 전에는 적합으로 올리지 마세요. E04만 미확인, 나머지는 미실시." sqref="F2:F25">
      <x:formula1>"적합,미흡,미확인,적용 제외,미실시"</x:formula1>
    </x:dataValidation>
  </x:dataValidations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legacyDrawing r:id="rId1"/>
  <x:tableParts count="1">
    <x:tablePart r:id="rId2"/>
  </x:tableParts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7b241c"/>
    <x:pageSetUpPr autoPageBreaks="1" fitToPage="1"/>
  </x:sheetPr>
  <x:dimension ref="A1:R5"/>
  <x:sheetViews>
    <x:sheetView showGridLines="0" topLeftCell="A1" zoomScale="110" zoomScaleNormal="110" zoomScaleSheetLayoutView="110" workbookViewId="0">
      <x:pane xSplit="0" ySplit="1" topLeftCell="A2" activePane="bottomLeft" state="frozen"/>
      <x:selection pane="bottomLeft" activeCell="A1" activeCellId="0" sqref="A1:A1"/>
    </x:sheetView>
  </x:sheetViews>
  <x:sheetFormatPr defaultColWidth="8.796875" defaultRowHeight="16.39999999999999857891"/>
  <x:cols>
    <x:col min="1" max="2" width="10" customWidth="1"/>
    <x:col min="3" max="3" width="36" customWidth="1"/>
    <x:col min="4" max="4" width="32" customWidth="1"/>
    <x:col min="5" max="7" width="10" customWidth="1"/>
    <x:col min="8" max="8" width="28" customWidth="1"/>
    <x:col min="9" max="12" width="14" customWidth="1"/>
    <x:col min="13" max="13" width="42" customWidth="1"/>
    <x:col min="14" max="18" width="14" customWidth="1"/>
  </x:cols>
  <x:sheetData>
    <x:row r="1" spans="1:18" ht="28" customHeight="1">
      <x:c r="A1" s="1" t="s">
        <x:v>437</x:v>
      </x:c>
      <x:c r="B1" s="1" t="s">
        <x:v>351</x:v>
      </x:c>
      <x:c r="C1" s="1" t="s">
        <x:v>659</x:v>
      </x:c>
      <x:c r="D1" s="1" t="s">
        <x:v>622</x:v>
      </x:c>
      <x:c r="E1" s="1" t="s">
        <x:v>585</x:v>
      </x:c>
      <x:c r="F1" s="1" t="s">
        <x:v>449</x:v>
      </x:c>
      <x:c r="G1" s="1" t="s">
        <x:v>424</x:v>
      </x:c>
      <x:c r="H1" s="1" t="s">
        <x:v>654</x:v>
      </x:c>
      <x:c r="I1" s="1" t="s">
        <x:v>142</x:v>
      </x:c>
      <x:c r="J1" s="1" t="s">
        <x:v>143</x:v>
      </x:c>
      <x:c r="K1" s="1" t="s">
        <x:v>146</x:v>
      </x:c>
      <x:c r="L1" s="1" t="s">
        <x:v>141</x:v>
      </x:c>
      <x:c r="M1" s="1" t="s">
        <x:v>147</x:v>
      </x:c>
      <x:c r="N1" s="1" t="s">
        <x:v>144</x:v>
      </x:c>
      <x:c r="O1" s="1" t="s">
        <x:v>148</x:v>
      </x:c>
      <x:c r="P1" s="1" t="s">
        <x:v>145</x:v>
      </x:c>
      <x:c r="Q1" s="1" t="s">
        <x:v>149</x:v>
      </x:c>
      <x:c r="R1" s="1" t="s">
        <x:v>150</x:v>
      </x:c>
    </x:row>
    <x:row r="2" spans="1:18" ht="48" customHeight="1">
      <x:c r="A2" s="2" t="s">
        <x:v>365</x:v>
      </x:c>
      <x:c r="B2" s="3" t="s">
        <x:v>588</x:v>
      </x:c>
      <x:c r="C2" s="3" t="s">
        <x:v>553</x:v>
      </x:c>
      <x:c r="D2" s="3" t="s">
        <x:v>51</x:v>
      </x:c>
      <x:c r="E2" s="3" t="s">
        <x:v>714</x:v>
      </x:c>
      <x:c r="F2" s="2">
        <x:v>3</x:v>
      </x:c>
      <x:c r="G2" s="2" t="s">
        <x:v>638</x:v>
      </x:c>
      <x:c r="H2" s="3" t="s">
        <x:v>749</x:v>
      </x:c>
      <x:c r="I2" s="2">
        <x:v>3</x:v>
      </x:c>
      <x:c r="J2" s="2">
        <x:v>2</x:v>
      </x:c>
      <x:c r="K2" s="2">
        <x:f>I2*J2</x:f>
        <x:v>6</x:v>
      </x:c>
      <x:c r="L2" s="3" t="s">
        <x:v>101</x:v>
      </x:c>
      <x:c r="M2" s="3" t="s">
        <x:v>87</x:v>
      </x:c>
      <x:c r="N2" s="3" t="s">
        <x:v>508</x:v>
      </x:c>
      <x:c r="O2" s="3" t="s">
        <x:v>644</x:v>
      </x:c>
      <x:c r="P2" s="2">
        <x:v>2</x:v>
      </x:c>
      <x:c r="Q2" s="3" t="s">
        <x:v>644</x:v>
      </x:c>
      <x:c r="R2" s="3" t="s">
        <x:v>644</x:v>
      </x:c>
    </x:row>
    <x:row r="3" spans="1:18" ht="48" customHeight="1">
      <x:c r="A3" s="2" t="s">
        <x:v>355</x:v>
      </x:c>
      <x:c r="B3" s="3" t="s">
        <x:v>524</x:v>
      </x:c>
      <x:c r="C3" s="3" t="s">
        <x:v>8</x:v>
      </x:c>
      <x:c r="D3" s="3" t="s">
        <x:v>456</x:v>
      </x:c>
      <x:c r="E3" s="3" t="s">
        <x:v>47</x:v>
      </x:c>
      <x:c r="F3" s="2">
        <x:v>3</x:v>
      </x:c>
      <x:c r="G3" s="2" t="s">
        <x:v>638</x:v>
      </x:c>
      <x:c r="H3" s="3" t="s">
        <x:v>720</x:v>
      </x:c>
      <x:c r="I3" s="2">
        <x:v>3</x:v>
      </x:c>
      <x:c r="J3" s="2">
        <x:v>2</x:v>
      </x:c>
      <x:c r="K3" s="2">
        <x:f>I3*J3</x:f>
        <x:v>6</x:v>
      </x:c>
      <x:c r="L3" s="3" t="s">
        <x:v>101</x:v>
      </x:c>
      <x:c r="M3" s="3" t="s">
        <x:v>44</x:v>
      </x:c>
      <x:c r="N3" s="3" t="s">
        <x:v>508</x:v>
      </x:c>
      <x:c r="O3" s="3" t="s">
        <x:v>644</x:v>
      </x:c>
      <x:c r="P3" s="2">
        <x:v>2</x:v>
      </x:c>
      <x:c r="Q3" s="3" t="s">
        <x:v>644</x:v>
      </x:c>
      <x:c r="R3" s="3" t="s">
        <x:v>644</x:v>
      </x:c>
    </x:row>
    <x:row r="4" spans="1:18" ht="48" customHeight="1">
      <x:c r="A4" s="2" t="s">
        <x:v>425</x:v>
      </x:c>
      <x:c r="B4" s="3" t="s">
        <x:v>594</x:v>
      </x:c>
      <x:c r="C4" s="3" t="s">
        <x:v>78</x:v>
      </x:c>
      <x:c r="D4" s="3" t="s">
        <x:v>290</x:v>
      </x:c>
      <x:c r="E4" s="3" t="s">
        <x:v>228</x:v>
      </x:c>
      <x:c r="F4" s="2">
        <x:v>3</x:v>
      </x:c>
      <x:c r="G4" s="2" t="s">
        <x:v>638</x:v>
      </x:c>
      <x:c r="H4" s="3" t="s">
        <x:v>529</x:v>
      </x:c>
      <x:c r="I4" s="2">
        <x:v>3</x:v>
      </x:c>
      <x:c r="J4" s="2">
        <x:v>2</x:v>
      </x:c>
      <x:c r="K4" s="2">
        <x:f>I4*J4</x:f>
        <x:v>6</x:v>
      </x:c>
      <x:c r="L4" s="3" t="s">
        <x:v>101</x:v>
      </x:c>
      <x:c r="M4" s="3" t="s">
        <x:v>138</x:v>
      </x:c>
      <x:c r="N4" s="3" t="s">
        <x:v>508</x:v>
      </x:c>
      <x:c r="O4" s="3" t="s">
        <x:v>644</x:v>
      </x:c>
      <x:c r="P4" s="2">
        <x:v>2</x:v>
      </x:c>
      <x:c r="Q4" s="3" t="s">
        <x:v>644</x:v>
      </x:c>
      <x:c r="R4" s="3" t="s">
        <x:v>644</x:v>
      </x:c>
    </x:row>
    <x:row r="5" spans="1:18" ht="48" customHeight="1">
      <x:c r="A5" s="2" t="s">
        <x:v>339</x:v>
      </x:c>
      <x:c r="B5" s="3" t="s">
        <x:v>521</x:v>
      </x:c>
      <x:c r="C5" s="3" t="s">
        <x:v>257</x:v>
      </x:c>
      <x:c r="D5" s="3" t="s">
        <x:v>28</x:v>
      </x:c>
      <x:c r="E5" s="3" t="s">
        <x:v>13</x:v>
      </x:c>
      <x:c r="F5" s="2">
        <x:v>3</x:v>
      </x:c>
      <x:c r="G5" s="2" t="s">
        <x:v>638</x:v>
      </x:c>
      <x:c r="H5" s="3" t="s">
        <x:v>37</x:v>
      </x:c>
      <x:c r="I5" s="2">
        <x:v>3</x:v>
      </x:c>
      <x:c r="J5" s="2">
        <x:v>3</x:v>
      </x:c>
      <x:c r="K5" s="2">
        <x:f>I5*J5</x:f>
        <x:v>9</x:v>
      </x:c>
      <x:c r="L5" s="3" t="s">
        <x:v>102</x:v>
      </x:c>
      <x:c r="M5" s="3" t="s">
        <x:v>471</x:v>
      </x:c>
      <x:c r="N5" s="3" t="s">
        <x:v>508</x:v>
      </x:c>
      <x:c r="O5" s="2">
        <x:v>3</x:v>
      </x:c>
      <x:c r="P5" s="2">
        <x:v>3</x:v>
      </x:c>
      <x:c r="Q5" s="2">
        <x:f>O5*P5</x:f>
        <x:v>9</x:v>
      </x:c>
      <x:c r="R5" s="3" t="s">
        <x:v>102</x:v>
      </x:c>
    </x:row>
  </x:sheetData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legacyDrawing r:id="rId1"/>
  <x:tableParts count="1">
    <x:tablePart r:id="rId2"/>
  </x:tableParts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0f6c6c"/>
    <x:pageSetUpPr autoPageBreaks="1" fitToPage="1"/>
  </x:sheetPr>
  <x:dimension ref="A1:H5"/>
  <x:sheetViews>
    <x:sheetView showGridLines="0" topLeftCell="A1" zoomScale="110" zoomScaleNormal="110" zoomScaleSheetLayoutView="110" workbookViewId="0">
      <x:pane xSplit="0" ySplit="1" topLeftCell="A2" activePane="bottomLeft" state="frozen"/>
      <x:selection pane="bottomLeft" activeCell="K5" activeCellId="0" sqref="K5:K5"/>
    </x:sheetView>
  </x:sheetViews>
  <x:sheetFormatPr defaultColWidth="8.796875" defaultRowHeight="16.39999999999999857891"/>
  <x:cols>
    <x:col min="1" max="2" width="10" customWidth="1"/>
    <x:col min="3" max="4" width="23.77734375" customWidth="1"/>
    <x:col min="5" max="8" width="10" customWidth="1"/>
  </x:cols>
  <x:sheetData>
    <x:row r="1" spans="1:8" ht="28" customHeight="1">
      <x:c r="A1" s="1" t="s">
        <x:v>379</x:v>
      </x:c>
      <x:c r="B1" s="1" t="s">
        <x:v>437</x:v>
      </x:c>
      <x:c r="C1" s="1" t="s">
        <x:v>416</x:v>
      </x:c>
      <x:c r="D1" s="1" t="s">
        <x:v>367</x:v>
      </x:c>
      <x:c r="E1" s="1" t="s">
        <x:v>603</x:v>
      </x:c>
      <x:c r="F1" s="1" t="s">
        <x:v>656</x:v>
      </x:c>
      <x:c r="G1" s="1" t="s">
        <x:v>343</x:v>
      </x:c>
      <x:c r="H1" s="1" t="s">
        <x:v>625</x:v>
      </x:c>
    </x:row>
    <x:row r="2" spans="1:8" ht="72" customHeight="1">
      <x:c r="A2" s="2" t="s">
        <x:v>320</x:v>
      </x:c>
      <x:c r="B2" s="2" t="s">
        <x:v>365</x:v>
      </x:c>
      <x:c r="C2" s="3" t="s">
        <x:v>735</x:v>
      </x:c>
      <x:c r="D2" s="3" t="s">
        <x:v>68</x:v>
      </x:c>
      <x:c r="E2" s="3" t="s">
        <x:v>197</x:v>
      </x:c>
      <x:c r="F2" s="7">
        <x:v>46301</x:v>
      </x:c>
      <x:c r="G2" s="3" t="s">
        <x:v>584</x:v>
      </x:c>
      <x:c r="H2" s="3" t="s">
        <x:v>653</x:v>
      </x:c>
    </x:row>
    <x:row r="3" spans="1:8" ht="72" customHeight="1">
      <x:c r="A3" s="2" t="s">
        <x:v>407</x:v>
      </x:c>
      <x:c r="B3" s="2" t="s">
        <x:v>355</x:v>
      </x:c>
      <x:c r="C3" s="3" t="s">
        <x:v>77</x:v>
      </x:c>
      <x:c r="D3" s="3" t="s">
        <x:v>694</x:v>
      </x:c>
      <x:c r="E3" s="3" t="s">
        <x:v>197</x:v>
      </x:c>
      <x:c r="F3" s="7">
        <x:v>46301</x:v>
      </x:c>
      <x:c r="G3" s="3" t="s">
        <x:v>584</x:v>
      </x:c>
      <x:c r="H3" s="3" t="s">
        <x:v>653</x:v>
      </x:c>
    </x:row>
    <x:row r="4" spans="1:8" ht="72" customHeight="1">
      <x:c r="A4" s="2" t="s">
        <x:v>366</x:v>
      </x:c>
      <x:c r="B4" s="2" t="s">
        <x:v>425</x:v>
      </x:c>
      <x:c r="C4" s="3" t="s">
        <x:v>63</x:v>
      </x:c>
      <x:c r="D4" s="3" t="s">
        <x:v>191</x:v>
      </x:c>
      <x:c r="E4" s="3" t="s">
        <x:v>197</x:v>
      </x:c>
      <x:c r="F4" s="7">
        <x:v>46301</x:v>
      </x:c>
      <x:c r="G4" s="3" t="s">
        <x:v>584</x:v>
      </x:c>
      <x:c r="H4" s="3" t="s">
        <x:v>653</x:v>
      </x:c>
    </x:row>
    <x:row r="5" spans="1:8" ht="228" customHeight="1">
      <x:c r="A5" s="2" t="s">
        <x:v>316</x:v>
      </x:c>
      <x:c r="B5" s="2" t="s">
        <x:v>339</x:v>
      </x:c>
      <x:c r="C5" s="3" t="s">
        <x:v>9</x:v>
      </x:c>
      <x:c r="D5" s="3" t="s">
        <x:v>686</x:v>
      </x:c>
      <x:c r="E5" s="3" t="s">
        <x:v>178</x:v>
      </x:c>
      <x:c r="F5" s="7">
        <x:v>46301</x:v>
      </x:c>
      <x:c r="G5" s="3" t="s">
        <x:v>584</x:v>
      </x:c>
      <x:c r="H5" s="3" t="s">
        <x:v>581</x:v>
      </x:c>
    </x:row>
  </x:sheetData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legacyDrawing r:id="rId1"/>
  <x:tableParts count="1">
    <x:tablePart r:id="rId2"/>
  </x:tableParts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4a5568"/>
    <x:pageSetUpPr autoPageBreaks="1" fitToPage="1"/>
  </x:sheetPr>
  <x:dimension ref="A1:H5"/>
  <x:sheetViews>
    <x:sheetView showGridLines="0" topLeftCell="A1" zoomScale="110" zoomScaleNormal="110" zoomScaleSheetLayoutView="110" workbookViewId="0">
      <x:pane xSplit="0" ySplit="1" topLeftCell="A2" activePane="bottomLeft" state="frozen"/>
      <x:selection pane="bottomLeft" activeCell="A2" activeCellId="0" sqref="A2:A2"/>
    </x:sheetView>
  </x:sheetViews>
  <x:sheetFormatPr defaultColWidth="8.796875" defaultRowHeight="16.39999999999999857891"/>
  <x:cols>
    <x:col min="1" max="2" width="10" customWidth="1"/>
    <x:col min="3" max="4" width="52" customWidth="1"/>
    <x:col min="5" max="5" width="17.1796875" customWidth="1"/>
    <x:col min="6" max="6" width="28.8046875" customWidth="1"/>
    <x:col min="7" max="8" width="10" customWidth="1"/>
  </x:cols>
  <x:sheetData>
    <x:row r="1" spans="1:8" ht="28" customHeight="1">
      <x:c r="A1" s="1" t="s">
        <x:v>438</x:v>
      </x:c>
      <x:c r="B1" s="1" t="s">
        <x:v>437</x:v>
      </x:c>
      <x:c r="C1" s="1" t="s">
        <x:v>639</x:v>
      </x:c>
      <x:c r="D1" s="1" t="s">
        <x:v>664</x:v>
      </x:c>
      <x:c r="E1" s="1" t="s">
        <x:v>408</x:v>
      </x:c>
      <x:c r="F1" s="1" t="s">
        <x:v>412</x:v>
      </x:c>
      <x:c r="G1" s="1" t="s">
        <x:v>620</x:v>
      </x:c>
      <x:c r="H1" s="1" t="s">
        <x:v>602</x:v>
      </x:c>
    </x:row>
    <x:row r="2" spans="1:8" ht="80" customHeight="1">
      <x:c r="A2" s="2" t="s">
        <x:v>380</x:v>
      </x:c>
      <x:c r="B2" s="2" t="s">
        <x:v>365</x:v>
      </x:c>
      <x:c r="C2" s="3" t="s">
        <x:v>305</x:v>
      </x:c>
      <x:c r="D2" s="3" t="s">
        <x:v>268</x:v>
      </x:c>
      <x:c r="E2" s="3" t="s">
        <x:v>741</x:v>
      </x:c>
      <x:c r="F2" s="3" t="s">
        <x:v>0</x:v>
      </x:c>
      <x:c r="G2" s="2" t="s">
        <x:v>660</x:v>
      </x:c>
      <x:c r="H2" s="7">
        <x:v>46301</x:v>
      </x:c>
    </x:row>
    <x:row r="3" spans="1:8" ht="80" customHeight="1">
      <x:c r="A3" s="2" t="s">
        <x:v>328</x:v>
      </x:c>
      <x:c r="B3" s="2" t="s">
        <x:v>355</x:v>
      </x:c>
      <x:c r="C3" s="3" t="s">
        <x:v>43</x:v>
      </x:c>
      <x:c r="D3" s="3" t="s">
        <x:v>301</x:v>
      </x:c>
      <x:c r="E3" s="3" t="s">
        <x:v>463</x:v>
      </x:c>
      <x:c r="F3" s="3" t="s">
        <x:v>256</x:v>
      </x:c>
      <x:c r="G3" s="2" t="s">
        <x:v>660</x:v>
      </x:c>
      <x:c r="H3" s="7">
        <x:v>46301</x:v>
      </x:c>
    </x:row>
    <x:row r="4" spans="1:8" ht="80" customHeight="1">
      <x:c r="A4" s="2" t="s">
        <x:v>361</x:v>
      </x:c>
      <x:c r="B4" s="2" t="s">
        <x:v>425</x:v>
      </x:c>
      <x:c r="C4" s="3" t="s">
        <x:v>299</x:v>
      </x:c>
      <x:c r="D4" s="3" t="s">
        <x:v>81</x:v>
      </x:c>
      <x:c r="E4" s="3" t="s">
        <x:v>226</x:v>
      </x:c>
      <x:c r="F4" s="3" t="s">
        <x:v>11</x:v>
      </x:c>
      <x:c r="G4" s="2" t="s">
        <x:v>660</x:v>
      </x:c>
      <x:c r="H4" s="7">
        <x:v>46301</x:v>
      </x:c>
    </x:row>
    <x:row r="5" spans="1:8" ht="80" customHeight="1">
      <x:c r="A5" s="2" t="s">
        <x:v>406</x:v>
      </x:c>
      <x:c r="B5" s="2" t="s">
        <x:v>339</x:v>
      </x:c>
      <x:c r="C5" s="3" t="s">
        <x:v>79</x:v>
      </x:c>
      <x:c r="D5" s="3" t="s">
        <x:v>82</x:v>
      </x:c>
      <x:c r="E5" s="3" t="s">
        <x:v>460</x:v>
      </x:c>
      <x:c r="F5" s="3" t="s">
        <x:v>10</x:v>
      </x:c>
      <x:c r="G5" s="2" t="s">
        <x:v>589</x:v>
      </x:c>
      <x:c r="H5" s="7">
        <x:v>46301</x:v>
      </x:c>
    </x:row>
  </x:sheetData>
  <x:dataValidations count="1">
    <x:dataValidation type="list" allowBlank="1" showErrorMessage="1" errorTitle="판정 값" error="적합, 미흡, 미확인, 적용 제외, 미실시 중에서만 고르세요." sqref="G2:G5">
      <x:formula1>"적합,미흡,미확인,적용 제외,미실시"</x:formula1>
    </x:dataValidation>
  </x:dataValidations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legacyDrawing r:id="rId1"/>
  <x:tableParts count="1">
    <x:tablePart r:id="rId2"/>
  </x:tableParts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tabColor rgb="ff1e3a5f"/>
    <x:pageSetUpPr autoPageBreaks="1" fitToPage="1"/>
  </x:sheetPr>
  <x:dimension ref="A1:N23"/>
  <x:sheetViews>
    <x:sheetView showGridLines="0" topLeftCell="B1" zoomScale="110" zoomScaleNormal="110" zoomScaleSheetLayoutView="110" workbookViewId="0">
      <x:pane xSplit="0" ySplit="1" topLeftCell="B2" activePane="bottomLeft" state="frozen"/>
      <x:selection pane="bottomLeft" activeCell="E20" activeCellId="0" sqref="E20:E20"/>
    </x:sheetView>
  </x:sheetViews>
  <x:sheetFormatPr defaultColWidth="8.796875" defaultRowHeight="16.39999999999999857891"/>
  <x:cols>
    <x:col min="1" max="1" width="10" customWidth="1"/>
    <x:col min="2" max="2" width="13" customWidth="1"/>
    <x:col min="3" max="3" width="10" customWidth="1"/>
    <x:col min="4" max="4" width="28" customWidth="1"/>
    <x:col min="5" max="5" width="10" customWidth="1"/>
    <x:col min="6" max="6" width="64" customWidth="1"/>
    <x:col min="7" max="7" width="10" customWidth="1"/>
    <x:col min="8" max="8" width="72" customWidth="1"/>
    <x:col min="9" max="9" width="30.90234375" customWidth="1"/>
    <x:col min="10" max="10" width="72" customWidth="1"/>
    <x:col min="11" max="11" width="62" customWidth="1"/>
    <x:col min="12" max="12" width="14" customWidth="1"/>
    <x:col min="13" max="13" width="46" customWidth="1"/>
    <x:col min="14" max="14" width="12" customWidth="1"/>
  </x:cols>
  <x:sheetData>
    <x:row r="1" spans="1:14" ht="28" customHeight="1">
      <x:c r="A1" s="16" t="s">
        <x:v>423</x:v>
      </x:c>
      <x:c r="B1" s="16" t="s">
        <x:v>371</x:v>
      </x:c>
      <x:c r="C1" s="16" t="s">
        <x:v>401</x:v>
      </x:c>
      <x:c r="D1" s="16" t="s">
        <x:v>605</x:v>
      </x:c>
      <x:c r="E1" s="16" t="s">
        <x:v>595</x:v>
      </x:c>
      <x:c r="F1" s="16" t="s">
        <x:v>436</x:v>
      </x:c>
      <x:c r="G1" s="16" t="s">
        <x:v>417</x:v>
      </x:c>
      <x:c r="H1" s="16" t="s">
        <x:v>364</x:v>
      </x:c>
      <x:c r="I1" s="16" t="s">
        <x:v>671</x:v>
      </x:c>
      <x:c r="J1" s="16" t="s">
        <x:v>576</x:v>
      </x:c>
      <x:c r="K1" s="16" t="s">
        <x:v>314</x:v>
      </x:c>
      <x:c r="L1" s="16" t="s">
        <x:v>630</x:v>
      </x:c>
      <x:c r="M1" s="16" t="s">
        <x:v>319</x:v>
      </x:c>
      <x:c r="N1" s="16" t="s">
        <x:v>318</x:v>
      </x:c>
    </x:row>
    <x:row r="2" spans="1:14" ht="68" customHeight="1">
      <x:c r="A2" s="17" t="s">
        <x:v>359</x:v>
      </x:c>
      <x:c r="B2" s="19">
        <x:v>46274</x:v>
      </x:c>
      <x:c r="C2" s="18" t="s">
        <x:v>598</x:v>
      </x:c>
      <x:c r="D2" s="18" t="s">
        <x:v>368</x:v>
      </x:c>
      <x:c r="E2" s="17" t="s">
        <x:v>635</x:v>
      </x:c>
      <x:c r="F2" s="18" t="s">
        <x:v>459</x:v>
      </x:c>
      <x:c r="G2" s="18" t="s">
        <x:v>718</x:v>
      </x:c>
      <x:c r="H2" s="20" t="s">
        <x:v>280</x:v>
      </x:c>
      <x:c r="I2" s="20" t="s">
        <x:v>294</x:v>
      </x:c>
      <x:c r="J2" s="18" t="s">
        <x:v>584</x:v>
      </x:c>
      <x:c r="K2" s="18" t="s">
        <x:v>718</x:v>
      </x:c>
      <x:c r="L2" s="18" t="s">
        <x:v>508</x:v>
      </x:c>
      <x:c r="M2" s="18" t="s">
        <x:v>231</x:v>
      </x:c>
      <x:c r="N2" s="18" t="s">
        <x:v>349</x:v>
      </x:c>
    </x:row>
    <x:row r="3" spans="1:14" ht="68" customHeight="1">
      <x:c r="A3" s="17" t="s">
        <x:v>391</x:v>
      </x:c>
      <x:c r="B3" s="19">
        <x:v>46274</x:v>
      </x:c>
      <x:c r="C3" s="18" t="s">
        <x:v>598</x:v>
      </x:c>
      <x:c r="D3" s="18" t="s">
        <x:v>528</x:v>
      </x:c>
      <x:c r="E3" s="17" t="s">
        <x:v>675</x:v>
      </x:c>
      <x:c r="F3" s="18" t="s">
        <x:v>465</x:v>
      </x:c>
      <x:c r="G3" s="18" t="s">
        <x:v>740</x:v>
      </x:c>
      <x:c r="H3" s="20" t="s">
        <x:v>260</x:v>
      </x:c>
      <x:c r="I3" s="20" t="s">
        <x:v>688</x:v>
      </x:c>
      <x:c r="J3" s="18" t="s">
        <x:v>584</x:v>
      </x:c>
      <x:c r="K3" s="18" t="s">
        <x:v>740</x:v>
      </x:c>
      <x:c r="L3" s="18" t="s">
        <x:v>508</x:v>
      </x:c>
      <x:c r="M3" s="18" t="s">
        <x:v>231</x:v>
      </x:c>
      <x:c r="N3" s="18" t="s">
        <x:v>349</x:v>
      </x:c>
    </x:row>
    <x:row r="4" spans="1:14" ht="68" customHeight="1">
      <x:c r="A4" s="17" t="s">
        <x:v>363</x:v>
      </x:c>
      <x:c r="B4" s="19">
        <x:v>46280</x:v>
      </x:c>
      <x:c r="C4" s="18" t="s">
        <x:v>598</x:v>
      </x:c>
      <x:c r="D4" s="18" t="s">
        <x:v>312</x:v>
      </x:c>
      <x:c r="E4" s="17" t="s">
        <x:v>599</x:v>
      </x:c>
      <x:c r="F4" s="18" t="s">
        <x:v>236</x:v>
      </x:c>
      <x:c r="G4" s="18" t="s">
        <x:v>236</x:v>
      </x:c>
      <x:c r="H4" s="20" t="s">
        <x:v>267</x:v>
      </x:c>
      <x:c r="I4" s="20" t="s">
        <x:v>278</x:v>
      </x:c>
      <x:c r="J4" s="18" t="s">
        <x:v>584</x:v>
      </x:c>
      <x:c r="K4" s="18" t="s">
        <x:v>236</x:v>
      </x:c>
      <x:c r="L4" s="18" t="s">
        <x:v>508</x:v>
      </x:c>
      <x:c r="M4" s="18" t="s">
        <x:v>231</x:v>
      </x:c>
      <x:c r="N4" s="18" t="s">
        <x:v>629</x:v>
      </x:c>
    </x:row>
    <x:row r="5" spans="1:14" ht="68" customHeight="1">
      <x:c r="A5" s="17" t="s">
        <x:v>395</x:v>
      </x:c>
      <x:c r="B5" s="19">
        <x:v>46274</x:v>
      </x:c>
      <x:c r="C5" s="18" t="s">
        <x:v>598</x:v>
      </x:c>
      <x:c r="D5" s="18" t="s">
        <x:v>203</x:v>
      </x:c>
      <x:c r="E5" s="17" t="s">
        <x:v>675</x:v>
      </x:c>
      <x:c r="F5" s="18" t="s">
        <x:v>295</x:v>
      </x:c>
      <x:c r="G5" s="18" t="s">
        <x:v>740</x:v>
      </x:c>
      <x:c r="H5" s="20" t="s">
        <x:v>284</x:v>
      </x:c>
      <x:c r="I5" s="20" t="s">
        <x:v>297</x:v>
      </x:c>
      <x:c r="J5" s="18" t="s">
        <x:v>584</x:v>
      </x:c>
      <x:c r="K5" s="18" t="s">
        <x:v>740</x:v>
      </x:c>
      <x:c r="L5" s="18" t="s">
        <x:v>508</x:v>
      </x:c>
      <x:c r="M5" s="18" t="s">
        <x:v>231</x:v>
      </x:c>
      <x:c r="N5" s="18" t="s">
        <x:v>349</x:v>
      </x:c>
    </x:row>
    <x:row r="6" spans="1:14" ht="68" customHeight="1">
      <x:c r="A6" s="17" t="s">
        <x:v>211</x:v>
      </x:c>
      <x:c r="B6" s="19" t="s">
        <x:v>713</x:v>
      </x:c>
      <x:c r="C6" s="18" t="s">
        <x:v>598</x:v>
      </x:c>
      <x:c r="D6" s="18" t="s">
        <x:v>184</x:v>
      </x:c>
      <x:c r="E6" s="17" t="s">
        <x:v>566</x:v>
      </x:c>
      <x:c r="F6" s="18" t="s">
        <x:v>458</x:v>
      </x:c>
      <x:c r="G6" s="18" t="s">
        <x:v>29</x:v>
      </x:c>
      <x:c r="H6" s="18" t="s">
        <x:v>259</x:v>
      </x:c>
      <x:c r="I6" s="18" t="s">
        <x:v>712</x:v>
      </x:c>
      <x:c r="J6" s="18" t="s">
        <x:v>258</x:v>
      </x:c>
      <x:c r="K6" s="18" t="s">
        <x:v>300</x:v>
      </x:c>
      <x:c r="L6" s="18" t="s">
        <x:v>508</x:v>
      </x:c>
      <x:c r="M6" s="18" t="s">
        <x:v>38</x:v>
      </x:c>
      <x:c r="N6" s="18" t="s">
        <x:v>629</x:v>
      </x:c>
    </x:row>
    <x:row r="7" spans="1:14" ht="68" customHeight="1">
      <x:c r="A7" s="17" t="s">
        <x:v>214</x:v>
      </x:c>
      <x:c r="B7" s="19" t="s">
        <x:v>715</x:v>
      </x:c>
      <x:c r="C7" s="18" t="s">
        <x:v>598</x:v>
      </x:c>
      <x:c r="D7" s="18" t="s">
        <x:v>220</x:v>
      </x:c>
      <x:c r="E7" s="17" t="s">
        <x:v>566</x:v>
      </x:c>
      <x:c r="F7" s="18" t="s">
        <x:v>35</x:v>
      </x:c>
      <x:c r="G7" s="18" t="s">
        <x:v>29</x:v>
      </x:c>
      <x:c r="H7" s="18" t="s">
        <x:v>286</x:v>
      </x:c>
      <x:c r="I7" s="18" t="s">
        <x:v>229</x:v>
      </x:c>
      <x:c r="J7" s="18" t="s">
        <x:v>258</x:v>
      </x:c>
      <x:c r="K7" s="18" t="s">
        <x:v>300</x:v>
      </x:c>
      <x:c r="L7" s="18" t="s">
        <x:v>508</x:v>
      </x:c>
      <x:c r="M7" s="18" t="s">
        <x:v>40</x:v>
      </x:c>
      <x:c r="N7" s="18" t="s">
        <x:v>629</x:v>
      </x:c>
    </x:row>
    <x:row r="8" spans="1:14" ht="68" customHeight="1">
      <x:c r="A8" s="17" t="s">
        <x:v>190</x:v>
      </x:c>
      <x:c r="B8" s="19">
        <x:v>46301</x:v>
      </x:c>
      <x:c r="C8" s="18" t="s">
        <x:v>598</x:v>
      </x:c>
      <x:c r="D8" s="18" t="s">
        <x:v>539</x:v>
      </x:c>
      <x:c r="E8" s="17" t="s">
        <x:v>675</x:v>
      </x:c>
      <x:c r="F8" s="18" t="s">
        <x:v>464</x:v>
      </x:c>
      <x:c r="G8" s="18" t="s">
        <x:v>29</x:v>
      </x:c>
      <x:c r="H8" s="18" t="s">
        <x:v>266</x:v>
      </x:c>
      <x:c r="I8" s="18" t="s">
        <x:v>19</x:v>
      </x:c>
      <x:c r="J8" s="18" t="s">
        <x:v>258</x:v>
      </x:c>
      <x:c r="K8" s="18" t="s">
        <x:v>300</x:v>
      </x:c>
      <x:c r="L8" s="18" t="s">
        <x:v>508</x:v>
      </x:c>
      <x:c r="M8" s="18" t="s">
        <x:v>217</x:v>
      </x:c>
      <x:c r="N8" s="18" t="s">
        <x:v>629</x:v>
      </x:c>
    </x:row>
    <x:row r="9" spans="1:14" ht="68" customHeight="1">
      <x:c r="A9" s="17" t="s">
        <x:v>554</x:v>
      </x:c>
      <x:c r="B9" s="19">
        <x:v>46301</x:v>
      </x:c>
      <x:c r="C9" s="18" t="s">
        <x:v>598</x:v>
      </x:c>
      <x:c r="D9" s="18" t="s">
        <x:v>556</x:v>
      </x:c>
      <x:c r="E9" s="17" t="s">
        <x:v>635</x:v>
      </x:c>
      <x:c r="F9" s="18" t="s">
        <x:v>305</x:v>
      </x:c>
      <x:c r="G9" s="18" t="s">
        <x:v>27</x:v>
      </x:c>
      <x:c r="H9" s="18" t="s">
        <x:v>265</x:v>
      </x:c>
      <x:c r="I9" s="18" t="s">
        <x:v>360</x:v>
      </x:c>
      <x:c r="J9" s="18" t="s">
        <x:v>265</x:v>
      </x:c>
      <x:c r="K9" s="18" t="s">
        <x:v>289</x:v>
      </x:c>
      <x:c r="L9" s="18" t="s">
        <x:v>508</x:v>
      </x:c>
      <x:c r="M9" s="18" t="s">
        <x:v>753</x:v>
      </x:c>
      <x:c r="N9" s="18" t="s">
        <x:v>346</x:v>
      </x:c>
    </x:row>
    <x:row r="10" spans="1:14" ht="68" customHeight="1">
      <x:c r="A10" s="17" t="s">
        <x:v>571</x:v>
      </x:c>
      <x:c r="B10" s="19">
        <x:v>46301</x:v>
      </x:c>
      <x:c r="C10" s="18" t="s">
        <x:v>598</x:v>
      </x:c>
      <x:c r="D10" s="18" t="s">
        <x:v>512</x:v>
      </x:c>
      <x:c r="E10" s="17" t="s">
        <x:v>635</x:v>
      </x:c>
      <x:c r="F10" s="18" t="s">
        <x:v>268</x:v>
      </x:c>
      <x:c r="G10" s="18" t="s">
        <x:v>33</x:v>
      </x:c>
      <x:c r="H10" s="18" t="s">
        <x:v>270</x:v>
      </x:c>
      <x:c r="I10" s="18" t="s">
        <x:v>360</x:v>
      </x:c>
      <x:c r="J10" s="18" t="s">
        <x:v>270</x:v>
      </x:c>
      <x:c r="K10" s="18" t="s">
        <x:v>687</x:v>
      </x:c>
      <x:c r="L10" s="18" t="s">
        <x:v>508</x:v>
      </x:c>
      <x:c r="M10" s="18" t="s">
        <x:v>753</x:v>
      </x:c>
      <x:c r="N10" s="18" t="s">
        <x:v>346</x:v>
      </x:c>
    </x:row>
    <x:row r="11" spans="1:14" ht="68" customHeight="1">
      <x:c r="A11" s="17" t="s">
        <x:v>534</x:v>
      </x:c>
      <x:c r="B11" s="19">
        <x:v>46301</x:v>
      </x:c>
      <x:c r="C11" s="18" t="s">
        <x:v>598</x:v>
      </x:c>
      <x:c r="D11" s="18" t="s">
        <x:v>522</x:v>
      </x:c>
      <x:c r="E11" s="17" t="s">
        <x:v>635</x:v>
      </x:c>
      <x:c r="F11" s="18" t="s">
        <x:v>43</x:v>
      </x:c>
      <x:c r="G11" s="18" t="s">
        <x:v>16</x:v>
      </x:c>
      <x:c r="H11" s="18" t="s">
        <x:v>269</x:v>
      </x:c>
      <x:c r="I11" s="18" t="s">
        <x:v>705</x:v>
      </x:c>
      <x:c r="J11" s="18" t="s">
        <x:v>269</x:v>
      </x:c>
      <x:c r="K11" s="18" t="s">
        <x:v>86</x:v>
      </x:c>
      <x:c r="L11" s="18" t="s">
        <x:v>508</x:v>
      </x:c>
      <x:c r="M11" s="18" t="s">
        <x:v>753</x:v>
      </x:c>
      <x:c r="N11" s="18" t="s">
        <x:v>346</x:v>
      </x:c>
    </x:row>
    <x:row r="12" spans="1:14" ht="68" customHeight="1">
      <x:c r="A12" s="17" t="s">
        <x:v>498</x:v>
      </x:c>
      <x:c r="B12" s="19">
        <x:v>46301</x:v>
      </x:c>
      <x:c r="C12" s="18" t="s">
        <x:v>598</x:v>
      </x:c>
      <x:c r="D12" s="18" t="s">
        <x:v>572</x:v>
      </x:c>
      <x:c r="E12" s="17" t="s">
        <x:v>635</x:v>
      </x:c>
      <x:c r="F12" s="18" t="s">
        <x:v>39</x:v>
      </x:c>
      <x:c r="G12" s="18" t="s">
        <x:v>738</x:v>
      </x:c>
      <x:c r="H12" s="18" t="s">
        <x:v>264</x:v>
      </x:c>
      <x:c r="I12" s="18" t="s">
        <x:v>360</x:v>
      </x:c>
      <x:c r="J12" s="18" t="s">
        <x:v>584</x:v>
      </x:c>
      <x:c r="K12" s="18" t="s">
        <x:v>738</x:v>
      </x:c>
      <x:c r="L12" s="18" t="s">
        <x:v>508</x:v>
      </x:c>
      <x:c r="M12" s="18" t="s">
        <x:v>231</x:v>
      </x:c>
      <x:c r="N12" s="18" t="s">
        <x:v>349</x:v>
      </x:c>
    </x:row>
    <x:row r="13" spans="1:14" ht="68" customHeight="1">
      <x:c r="A13" s="17" t="s">
        <x:v>529</x:v>
      </x:c>
      <x:c r="B13" s="19">
        <x:v>46301</x:v>
      </x:c>
      <x:c r="C13" s="18" t="s">
        <x:v>598</x:v>
      </x:c>
      <x:c r="D13" s="18" t="s">
        <x:v>567</x:v>
      </x:c>
      <x:c r="E13" s="17" t="s">
        <x:v>635</x:v>
      </x:c>
      <x:c r="F13" s="18" t="s">
        <x:v>299</x:v>
      </x:c>
      <x:c r="G13" s="18" t="s">
        <x:v>18</x:v>
      </x:c>
      <x:c r="H13" s="18" t="s">
        <x:v>281</x:v>
      </x:c>
      <x:c r="I13" s="18" t="s">
        <x:v>519</x:v>
      </x:c>
      <x:c r="J13" s="18" t="s">
        <x:v>281</x:v>
      </x:c>
      <x:c r="K13" s="18" t="s">
        <x:v>466</x:v>
      </x:c>
      <x:c r="L13" s="18" t="s">
        <x:v>508</x:v>
      </x:c>
      <x:c r="M13" s="18" t="s">
        <x:v>753</x:v>
      </x:c>
      <x:c r="N13" s="18" t="s">
        <x:v>346</x:v>
      </x:c>
    </x:row>
    <x:row r="14" spans="1:14" ht="68" customHeight="1">
      <x:c r="A14" s="17" t="s">
        <x:v>510</x:v>
      </x:c>
      <x:c r="B14" s="19">
        <x:v>46301</x:v>
      </x:c>
      <x:c r="C14" s="18" t="s">
        <x:v>598</x:v>
      </x:c>
      <x:c r="D14" s="18" t="s">
        <x:v>196</x:v>
      </x:c>
      <x:c r="E14" s="17" t="s">
        <x:v>635</x:v>
      </x:c>
      <x:c r="F14" s="18" t="s">
        <x:v>301</x:v>
      </x:c>
      <x:c r="G14" s="18" t="s">
        <x:v>25</x:v>
      </x:c>
      <x:c r="H14" s="18" t="s">
        <x:v>275</x:v>
      </x:c>
      <x:c r="I14" s="18" t="s">
        <x:v>537</x:v>
      </x:c>
      <x:c r="J14" s="18" t="s">
        <x:v>275</x:v>
      </x:c>
      <x:c r="K14" s="18" t="s">
        <x:v>748</x:v>
      </x:c>
      <x:c r="L14" s="18" t="s">
        <x:v>508</x:v>
      </x:c>
      <x:c r="M14" s="18" t="s">
        <x:v>753</x:v>
      </x:c>
      <x:c r="N14" s="18" t="s">
        <x:v>346</x:v>
      </x:c>
    </x:row>
    <x:row r="15" spans="1:14" ht="68" customHeight="1">
      <x:c r="A15" s="17" t="s">
        <x:v>579</x:v>
      </x:c>
      <x:c r="B15" s="19">
        <x:v>46301</x:v>
      </x:c>
      <x:c r="C15" s="18" t="s">
        <x:v>598</x:v>
      </x:c>
      <x:c r="D15" s="18" t="s">
        <x:v>710</x:v>
      </x:c>
      <x:c r="E15" s="17" t="s">
        <x:v>635</x:v>
      </x:c>
      <x:c r="F15" s="18" t="s">
        <x:v>1</x:v>
      </x:c>
      <x:c r="G15" s="18" t="s">
        <x:v>26</x:v>
      </x:c>
      <x:c r="H15" s="18" t="s">
        <x:v>261</x:v>
      </x:c>
      <x:c r="I15" s="18" t="s">
        <x:v>218</x:v>
      </x:c>
      <x:c r="J15" s="18" t="s">
        <x:v>584</x:v>
      </x:c>
      <x:c r="K15" s="18" t="s">
        <x:v>26</x:v>
      </x:c>
      <x:c r="L15" s="18" t="s">
        <x:v>508</x:v>
      </x:c>
      <x:c r="M15" s="18" t="s">
        <x:v>231</x:v>
      </x:c>
      <x:c r="N15" s="18" t="s">
        <x:v>349</x:v>
      </x:c>
    </x:row>
    <x:row r="16" spans="1:14" ht="68" customHeight="1">
      <x:c r="A16" s="17" t="s">
        <x:v>516</x:v>
      </x:c>
      <x:c r="B16" s="19">
        <x:v>46301</x:v>
      </x:c>
      <x:c r="C16" s="18" t="s">
        <x:v>598</x:v>
      </x:c>
      <x:c r="D16" s="18" t="s">
        <x:v>518</x:v>
      </x:c>
      <x:c r="E16" s="17" t="s">
        <x:v>635</x:v>
      </x:c>
      <x:c r="F16" s="18" t="s">
        <x:v>85</x:v>
      </x:c>
      <x:c r="G16" s="18" t="s">
        <x:v>14</x:v>
      </x:c>
      <x:c r="H16" s="18" t="s">
        <x:v>273</x:v>
      </x:c>
      <x:c r="I16" s="18" t="s">
        <x:v>708</x:v>
      </x:c>
      <x:c r="J16" s="18" t="s">
        <x:v>273</x:v>
      </x:c>
      <x:c r="K16" s="18" t="s">
        <x:v>298</x:v>
      </x:c>
      <x:c r="L16" s="18" t="s">
        <x:v>508</x:v>
      </x:c>
      <x:c r="M16" s="18" t="s">
        <x:v>753</x:v>
      </x:c>
      <x:c r="N16" s="18" t="s">
        <x:v>346</x:v>
      </x:c>
    </x:row>
    <x:row r="17" spans="1:14" ht="68" customHeight="1">
      <x:c r="A17" s="17" t="s">
        <x:v>555</x:v>
      </x:c>
      <x:c r="B17" s="19">
        <x:v>46301</x:v>
      </x:c>
      <x:c r="C17" s="18" t="s">
        <x:v>598</x:v>
      </x:c>
      <x:c r="D17" s="18" t="s">
        <x:v>240</x:v>
      </x:c>
      <x:c r="E17" s="17" t="s">
        <x:v>635</x:v>
      </x:c>
      <x:c r="F17" s="18" t="s">
        <x:v>81</x:v>
      </x:c>
      <x:c r="G17" s="18" t="s">
        <x:v>12</x:v>
      </x:c>
      <x:c r="H17" s="18" t="s">
        <x:v>272</x:v>
      </x:c>
      <x:c r="I17" s="18" t="s">
        <x:v>519</x:v>
      </x:c>
      <x:c r="J17" s="18" t="s">
        <x:v>272</x:v>
      </x:c>
      <x:c r="K17" s="18" t="s">
        <x:v>80</x:v>
      </x:c>
      <x:c r="L17" s="18" t="s">
        <x:v>508</x:v>
      </x:c>
      <x:c r="M17" s="18" t="s">
        <x:v>753</x:v>
      </x:c>
      <x:c r="N17" s="18" t="s">
        <x:v>346</x:v>
      </x:c>
    </x:row>
    <x:row r="18" spans="1:14" ht="68" customHeight="1">
      <x:c r="A18" s="17" t="s">
        <x:v>212</x:v>
      </x:c>
      <x:c r="B18" s="19">
        <x:v>46301</x:v>
      </x:c>
      <x:c r="C18" s="18" t="s">
        <x:v>598</x:v>
      </x:c>
      <x:c r="D18" s="25" t="s">
        <x:v>193</x:v>
      </x:c>
      <x:c r="E18" s="17" t="s">
        <x:v>635</x:v>
      </x:c>
      <x:c r="F18" s="18" t="s">
        <x:v>79</x:v>
      </x:c>
      <x:c r="G18" s="18" t="s">
        <x:v>543</x:v>
      </x:c>
      <x:c r="H18" s="18" t="s">
        <x:v>283</x:v>
      </x:c>
      <x:c r="I18" s="18" t="s">
        <x:v>716</x:v>
      </x:c>
      <x:c r="J18" s="18" t="s">
        <x:v>283</x:v>
      </x:c>
      <x:c r="K18" s="18" t="s">
        <x:v>303</x:v>
      </x:c>
      <x:c r="L18" s="18" t="s">
        <x:v>508</x:v>
      </x:c>
      <x:c r="M18" s="18" t="s">
        <x:v>753</x:v>
      </x:c>
      <x:c r="N18" s="18" t="s">
        <x:v>346</x:v>
      </x:c>
    </x:row>
    <x:row r="19" spans="1:14" ht="68" customHeight="1">
      <x:c r="A19" s="17" t="s">
        <x:v>557</x:v>
      </x:c>
      <x:c r="B19" s="19">
        <x:v>46301</x:v>
      </x:c>
      <x:c r="C19" s="18" t="s">
        <x:v>598</x:v>
      </x:c>
      <x:c r="D19" s="18" t="s">
        <x:v>560</x:v>
      </x:c>
      <x:c r="E19" s="17" t="s">
        <x:v>635</x:v>
      </x:c>
      <x:c r="F19" s="18" t="s">
        <x:v>83</x:v>
      </x:c>
      <x:c r="G19" s="18" t="s">
        <x:v>746</x:v>
      </x:c>
      <x:c r="H19" s="18" t="s">
        <x:v>285</x:v>
      </x:c>
      <x:c r="I19" s="18" t="s">
        <x:v>707</x:v>
      </x:c>
      <x:c r="J19" s="18" t="s">
        <x:v>584</x:v>
      </x:c>
      <x:c r="K19" s="18" t="s">
        <x:v>746</x:v>
      </x:c>
      <x:c r="L19" s="18" t="s">
        <x:v>508</x:v>
      </x:c>
      <x:c r="M19" s="18" t="s">
        <x:v>231</x:v>
      </x:c>
      <x:c r="N19" s="18" t="s">
        <x:v>349</x:v>
      </x:c>
    </x:row>
    <x:row r="20" spans="1:14" ht="68" customHeight="1">
      <x:c r="A20" s="17" t="s">
        <x:v>533</x:v>
      </x:c>
      <x:c r="B20" s="19">
        <x:v>46301</x:v>
      </x:c>
      <x:c r="C20" s="18" t="s">
        <x:v>598</x:v>
      </x:c>
      <x:c r="D20" s="18" t="s">
        <x:v>541</x:v>
      </x:c>
      <x:c r="E20" s="17" t="s">
        <x:v>635</x:v>
      </x:c>
      <x:c r="F20" s="18" t="s">
        <x:v>84</x:v>
      </x:c>
      <x:c r="G20" s="18" t="s">
        <x:v>739</x:v>
      </x:c>
      <x:c r="H20" s="18" t="s">
        <x:v>263</x:v>
      </x:c>
      <x:c r="I20" s="18" t="s">
        <x:v>699</x:v>
      </x:c>
      <x:c r="J20" s="18" t="s">
        <x:v>584</x:v>
      </x:c>
      <x:c r="K20" s="18" t="s">
        <x:v>739</x:v>
      </x:c>
      <x:c r="L20" s="18" t="s">
        <x:v>508</x:v>
      </x:c>
      <x:c r="M20" s="18" t="s">
        <x:v>231</x:v>
      </x:c>
      <x:c r="N20" s="18" t="s">
        <x:v>349</x:v>
      </x:c>
    </x:row>
    <x:row r="21" spans="1:14" ht="68" customHeight="1">
      <x:c r="A21" s="17" t="s">
        <x:v>215</x:v>
      </x:c>
      <x:c r="B21" s="19">
        <x:v>46301</x:v>
      </x:c>
      <x:c r="C21" s="18" t="s">
        <x:v>598</x:v>
      </x:c>
      <x:c r="D21" s="18" t="s">
        <x:v>558</x:v>
      </x:c>
      <x:c r="E21" s="17" t="s">
        <x:v>635</x:v>
      </x:c>
      <x:c r="F21" s="18" t="s">
        <x:v>82</x:v>
      </x:c>
      <x:c r="G21" s="18" t="s">
        <x:v>15</x:v>
      </x:c>
      <x:c r="H21" s="18" t="s">
        <x:v>277</x:v>
      </x:c>
      <x:c r="I21" s="18" t="s">
        <x:v>194</x:v>
      </x:c>
      <x:c r="J21" s="18" t="s">
        <x:v>277</x:v>
      </x:c>
      <x:c r="K21" s="18" t="s">
        <x:v>461</x:v>
      </x:c>
      <x:c r="L21" s="18" t="s">
        <x:v>508</x:v>
      </x:c>
      <x:c r="M21" s="18" t="s">
        <x:v>753</x:v>
      </x:c>
      <x:c r="N21" s="18" t="s">
        <x:v>346</x:v>
      </x:c>
    </x:row>
    <x:row r="22" spans="1:14" ht="68" customHeight="1">
      <x:c r="A22" s="17" t="s">
        <x:v>507</x:v>
      </x:c>
      <x:c r="B22" s="19">
        <x:v>46301</x:v>
      </x:c>
      <x:c r="C22" s="18" t="s">
        <x:v>598</x:v>
      </x:c>
      <x:c r="D22" s="18" t="s">
        <x:v>496</x:v>
      </x:c>
      <x:c r="E22" s="17" t="s">
        <x:v>635</x:v>
      </x:c>
      <x:c r="F22" s="18" t="s">
        <x:v>302</x:v>
      </x:c>
      <x:c r="G22" s="18" t="s">
        <x:v>17</x:v>
      </x:c>
      <x:c r="H22" s="18" t="s">
        <x:v>279</x:v>
      </x:c>
      <x:c r="I22" s="18" t="s">
        <x:v>520</x:v>
      </x:c>
      <x:c r="J22" s="18" t="s">
        <x:v>279</x:v>
      </x:c>
      <x:c r="K22" s="18" t="s">
        <x:v>462</x:v>
      </x:c>
      <x:c r="L22" s="18" t="s">
        <x:v>508</x:v>
      </x:c>
      <x:c r="M22" s="18" t="s">
        <x:v>753</x:v>
      </x:c>
      <x:c r="N22" s="18" t="s">
        <x:v>346</x:v>
      </x:c>
    </x:row>
    <x:row r="23" spans="1:14" ht="68" customHeight="1">
      <x:c r="A23" s="17" t="s">
        <x:v>526</x:v>
      </x:c>
      <x:c r="B23" s="19">
        <x:v>46302</x:v>
      </x:c>
      <x:c r="C23" s="18" t="s">
        <x:v>598</x:v>
      </x:c>
      <x:c r="D23" s="18" t="s">
        <x:v>246</x:v>
      </x:c>
      <x:c r="E23" s="17" t="s">
        <x:v>675</x:v>
      </x:c>
      <x:c r="F23" s="18" t="s">
        <x:v>467</x:v>
      </x:c>
      <x:c r="G23" s="18" t="s">
        <x:v>71</x:v>
      </x:c>
      <x:c r="H23" s="18" t="s">
        <x:v>282</x:v>
      </x:c>
      <x:c r="I23" s="18" t="s">
        <x:v>296</x:v>
      </x:c>
      <x:c r="J23" s="18" t="s">
        <x:v>584</x:v>
      </x:c>
      <x:c r="K23" s="18" t="s">
        <x:v>71</x:v>
      </x:c>
      <x:c r="L23" s="18" t="s">
        <x:v>508</x:v>
      </x:c>
      <x:c r="M23" s="18" t="s">
        <x:v>231</x:v>
      </x:c>
      <x:c r="N23" s="18" t="s">
        <x:v>349</x:v>
      </x:c>
    </x:row>
  </x:sheetData>
  <x:pageMargins left="0.40000000596046447754" right="0.40000000596046447754" top="0.5" bottom="0.5" header="0.5" footer="0.5"/>
  <x:pageSetup paperSize="9" scale="100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  <x:tableParts count="1">
    <x:tablePart r:id="rId1"/>
  </x:tableParts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 filterMode="1">
    <x:tabColor rgb="ff1f4e79"/>
    <x:pageSetUpPr autoPageBreaks="1" fitToPage="1"/>
  </x:sheetPr>
  <x:dimension ref="A1:L5"/>
  <x:sheetViews>
    <x:sheetView showGridLines="0" topLeftCell="A1" zoomScale="110" zoomScaleNormal="75" zoomScaleSheetLayoutView="110" workbookViewId="0">
      <x:pane xSplit="0" ySplit="1" topLeftCell="A2" activePane="bottomLeft" state="frozen"/>
      <x:selection pane="bottomLeft" activeCell="A10" activeCellId="0" sqref="A10:A10"/>
    </x:sheetView>
  </x:sheetViews>
  <x:sheetFormatPr defaultColWidth="8.796875" defaultRowHeight="16.39999999999999857891"/>
  <x:cols>
    <x:col min="1" max="3" width="18" customWidth="1"/>
    <x:col min="4" max="4" width="22.54296875" customWidth="1"/>
    <x:col min="5" max="5" width="18" customWidth="1"/>
    <x:col min="6" max="6" width="25.0859375" customWidth="1"/>
    <x:col min="7" max="7" width="25.1796875" customWidth="1"/>
    <x:col min="8" max="10" width="18" customWidth="1"/>
    <x:col min="12" max="12" width="28" customWidth="1"/>
  </x:cols>
  <x:sheetData>
    <x:row r="1" spans="1:12" ht="28" customHeight="1">
      <x:c r="A1" s="22" t="s">
        <x:v>110</x:v>
      </x:c>
      <x:c r="B1" s="22" t="s">
        <x:v>93</x:v>
      </x:c>
      <x:c r="C1" s="22" t="s">
        <x:v>94</x:v>
      </x:c>
      <x:c r="D1" s="22" t="s">
        <x:v>111</x:v>
      </x:c>
      <x:c r="E1" s="22" t="s">
        <x:v>103</x:v>
      </x:c>
      <x:c r="F1" s="22" t="s">
        <x:v>685</x:v>
      </x:c>
      <x:c r="G1" s="22" t="s">
        <x:v>583</x:v>
      </x:c>
      <x:c r="H1" s="22" t="s">
        <x:v>654</x:v>
      </x:c>
      <x:c r="I1" s="22" t="s">
        <x:v>644</x:v>
      </x:c>
      <x:c r="J1" s="22" t="s">
        <x:v>625</x:v>
      </x:c>
      <x:c r="L1" s="28"/>
    </x:row>
    <x:row r="2" spans="1:12" ht="24" customHeight="1">
      <x:c r="A2" s="26" t="s">
        <x:v>104</x:v>
      </x:c>
      <x:c r="B2" s="27">
        <x:v>46301</x:v>
      </x:c>
      <x:c r="C2" s="26" t="s">
        <x:v>92</x:v>
      </x:c>
      <x:c r="D2" s="26" t="s">
        <x:v>164</x:v>
      </x:c>
      <x:c r="E2" s="26" t="s">
        <x:v>474</x:v>
      </x:c>
      <x:c r="F2" s="26" t="s">
        <x:v>473</x:v>
      </x:c>
      <x:c r="G2" s="26" t="s">
        <x:v>478</x:v>
      </x:c>
      <x:c r="H2" s="26" t="s">
        <x:v>554</x:v>
      </x:c>
      <x:c r="I2" s="26" t="s">
        <x:v>476</x:v>
      </x:c>
      <x:c r="J2" s="26" t="s">
        <x:v>653</x:v>
      </x:c>
      <x:c r="L2" s="28"/>
    </x:row>
    <x:row r="3" spans="1:12" ht="24" customHeight="1">
      <x:c r="A3" s="23" t="s">
        <x:v>104</x:v>
      </x:c>
      <x:c r="B3" s="23" t="s">
        <x:v>479</x:v>
      </x:c>
      <x:c r="C3" s="23" t="s">
        <x:v>95</x:v>
      </x:c>
      <x:c r="D3" s="23" t="s">
        <x:v>477</x:v>
      </x:c>
      <x:c r="E3" s="23" t="s">
        <x:v>663</x:v>
      </x:c>
      <x:c r="F3" s="23" t="s">
        <x:v>480</x:v>
      </x:c>
      <x:c r="G3" s="23" t="s">
        <x:v>165</x:v>
      </x:c>
      <x:c r="H3" s="23" t="s">
        <x:v>571</x:v>
      </x:c>
      <x:c r="I3" s="23" t="s">
        <x:v>475</x:v>
      </x:c>
      <x:c r="J3" s="23" t="s">
        <x:v>105</x:v>
      </x:c>
      <x:c r="L3" s="28"/>
    </x:row>
    <x:row r="4" spans="1:12" ht="24" customHeight="1">
      <x:c r="A4" s="26" t="s">
        <x:v>104</x:v>
      </x:c>
      <x:c r="B4" s="26" t="s">
        <x:v>481</x:v>
      </x:c>
      <x:c r="C4" s="26" t="s">
        <x:v>96</x:v>
      </x:c>
      <x:c r="D4" s="26" t="s">
        <x:v>483</x:v>
      </x:c>
      <x:c r="E4" s="26" t="s">
        <x:v>106</x:v>
      </x:c>
      <x:c r="F4" s="26" t="s">
        <x:v>756</x:v>
      </x:c>
      <x:c r="G4" s="26" t="s">
        <x:v>757</x:v>
      </x:c>
      <x:c r="H4" s="26" t="s">
        <x:v>190</x:v>
      </x:c>
      <x:c r="I4" s="26" t="s">
        <x:v>482</x:v>
      </x:c>
      <x:c r="J4" s="26" t="s">
        <x:v>109</x:v>
      </x:c>
      <x:c r="L4" s="24"/>
    </x:row>
    <x:row r="5" spans="1:10" ht="24" customHeight="1">
      <x:c r="A5" s="23" t="s">
        <x:v>104</x:v>
      </x:c>
      <x:c r="B5" s="23" t="s">
        <x:v>484</x:v>
      </x:c>
      <x:c r="C5" s="23" t="s">
        <x:v>91</x:v>
      </x:c>
      <x:c r="D5" s="23" t="s">
        <x:v>108</x:v>
      </x:c>
      <x:c r="E5" s="23" t="s">
        <x:v>634</x:v>
      </x:c>
      <x:c r="F5" s="23" t="s">
        <x:v>754</x:v>
      </x:c>
      <x:c r="G5" s="23" t="s">
        <x:v>755</x:v>
      </x:c>
      <x:c r="H5" s="23" t="s">
        <x:v>485</x:v>
      </x:c>
      <x:c r="I5" s="23" t="s">
        <x:v>486</x:v>
      </x:c>
      <x:c r="J5" s="23" t="s">
        <x:v>107</x:v>
      </x:c>
    </x:row>
  </x:sheetData>
  <x:autoFilter ref="A1:J1"/>
  <x:pageMargins left="0.69999998807907104492" right="0.69999998807907104492" top="0.75" bottom="0.75" header="0.30000001192092895508" footer="0.30000001192092895508"/>
  <x:pageSetup paperSize="9" scale="100" firstPageNumber="1" fitToWidth="0" fitToHeight="0" orientation="landscape" usePrinterDefaults="1" blackAndWhite="0" draft="0" useFirstPageNumber="0" horizontalDpi="0" verticalDpi="0" copies="1"/>
  <x:headerFooter differentOddEven="0" differentFirst="0" scaleWithDoc="1" alignWithMargin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>
    <x:tabColor rgb="ff1e4d3a"/>
    <x:pageSetUpPr autoPageBreaks="1" fitToPage="1"/>
  </x:sheetPr>
  <x:dimension ref="A1:M25"/>
  <x:sheetViews>
    <x:sheetView showGridLines="0" topLeftCell="A1" zoomScale="110" zoomScaleNormal="75" zoomScaleSheetLayoutView="110" workbookViewId="0">
      <x:pane xSplit="0" ySplit="1" topLeftCell="A2" activePane="bottomLeft" state="frozen"/>
      <x:selection pane="bottomLeft" activeCell="A1" activeCellId="0" sqref="A1:A1"/>
    </x:sheetView>
  </x:sheetViews>
  <x:sheetFormatPr defaultColWidth="8.796875" defaultRowHeight="16.39999999999999857891"/>
  <x:cols>
    <x:col min="1" max="1" width="12" customWidth="1"/>
    <x:col min="2" max="3" width="14" customWidth="1"/>
    <x:col min="4" max="7" width="36" customWidth="1"/>
    <x:col min="8" max="8" width="24" customWidth="1"/>
    <x:col min="9" max="10" width="14" customWidth="1"/>
    <x:col min="11" max="11" width="32" customWidth="1"/>
    <x:col min="13" max="13" width="42" customWidth="1"/>
  </x:cols>
  <x:sheetData>
    <x:row r="1" spans="1:13" ht="28" customHeight="1">
      <x:c r="A1" s="1" t="s">
        <x:v>151</x:v>
      </x:c>
      <x:c r="B1" s="1" t="s">
        <x:v>154</x:v>
      </x:c>
      <x:c r="C1" s="1" t="s">
        <x:v>152</x:v>
      </x:c>
      <x:c r="D1" s="1" t="s">
        <x:v>155</x:v>
      </x:c>
      <x:c r="E1" s="1" t="s">
        <x:v>156</x:v>
      </x:c>
      <x:c r="F1" s="1" t="s">
        <x:v>654</x:v>
      </x:c>
      <x:c r="G1" s="1" t="s">
        <x:v>683</x:v>
      </x:c>
      <x:c r="H1" s="1" t="s">
        <x:v>99</x:v>
      </x:c>
      <x:c r="I1" s="1" t="s">
        <x:v>656</x:v>
      </x:c>
      <x:c r="J1" s="1" t="s">
        <x:v>98</x:v>
      </x:c>
      <x:c r="K1" s="1" t="s">
        <x:v>153</x:v>
      </x:c>
      <x:c r="M1" s="3" t="s">
        <x:v>684</x:v>
      </x:c>
    </x:row>
    <x:row r="2" spans="1:13" ht="48" customHeight="1">
      <x:c r="A2" s="3" t="s">
        <x:v>628</x:v>
      </x:c>
      <x:c r="B2" s="3" t="s">
        <x:v>631</x:v>
      </x:c>
      <x:c r="C2" s="3" t="s">
        <x:v>660</x:v>
      </x:c>
      <x:c r="D2" s="3" t="s">
        <x:v>137</x:v>
      </x:c>
      <x:c r="E2" s="3" t="s">
        <x:v>116</x:v>
      </x:c>
      <x:c r="F2" s="3" t="s">
        <x:v>234</x:v>
      </x:c>
      <x:c r="G2" s="3" t="s">
        <x:v>700</x:v>
      </x:c>
      <x:c r="H2" s="3" t="s">
        <x:v>97</x:v>
      </x:c>
      <x:c r="I2" s="3" t="s">
        <x:v>97</x:v>
      </x:c>
      <x:c r="J2" s="3" t="s">
        <x:v>508</x:v>
      </x:c>
      <x:c r="K2" s="3" t="s">
        <x:v>117</x:v>
      </x:c>
      <x:c r="M2" s="3" t="s">
        <x:v>508</x:v>
      </x:c>
    </x:row>
    <x:row r="3" spans="1:13" ht="48" customHeight="1">
      <x:c r="A3" s="3" t="s">
        <x:v>666</x:v>
      </x:c>
      <x:c r="B3" s="3" t="s">
        <x:v>329</x:v>
      </x:c>
      <x:c r="C3" s="3" t="s">
        <x:v>660</x:v>
      </x:c>
      <x:c r="D3" s="3" t="s">
        <x:v>46</x:v>
      </x:c>
      <x:c r="E3" s="3" t="s">
        <x:v>116</x:v>
      </x:c>
      <x:c r="F3" s="3" t="s">
        <x:v>167</x:v>
      </x:c>
      <x:c r="G3" s="3" t="s">
        <x:v>123</x:v>
      </x:c>
      <x:c r="H3" s="3" t="s">
        <x:v>97</x:v>
      </x:c>
      <x:c r="I3" s="3" t="s">
        <x:v>97</x:v>
      </x:c>
      <x:c r="J3" s="3" t="s">
        <x:v>118</x:v>
      </x:c>
      <x:c r="K3" s="3" t="s">
        <x:v>117</x:v>
      </x:c>
      <x:c r="M3" s="3" t="s">
        <x:v>550</x:v>
      </x:c>
    </x:row>
    <x:row r="4" spans="1:11" ht="48" customHeight="1">
      <x:c r="A4" s="3" t="s">
        <x:v>670</x:v>
      </x:c>
      <x:c r="B4" s="3" t="s">
        <x:v>617</x:v>
      </x:c>
      <x:c r="C4" s="3" t="s">
        <x:v>660</x:v>
      </x:c>
      <x:c r="D4" s="3" t="s">
        <x:v>121</x:v>
      </x:c>
      <x:c r="E4" s="3" t="s">
        <x:v>116</x:v>
      </x:c>
      <x:c r="F4" s="3" t="s">
        <x:v>363</x:v>
      </x:c>
      <x:c r="G4" s="3" t="s">
        <x:v>200</x:v>
      </x:c>
      <x:c r="H4" s="3" t="s">
        <x:v>97</x:v>
      </x:c>
      <x:c r="I4" s="3" t="s">
        <x:v>97</x:v>
      </x:c>
      <x:c r="J4" s="3" t="s">
        <x:v>118</x:v>
      </x:c>
      <x:c r="K4" s="3" t="s">
        <x:v>117</x:v>
      </x:c>
    </x:row>
    <x:row r="5" spans="1:11" ht="48" customHeight="1">
      <x:c r="A5" s="3" t="s">
        <x:v>667</x:v>
      </x:c>
      <x:c r="B5" s="3" t="s">
        <x:v>645</x:v>
      </x:c>
      <x:c r="C5" s="3" t="s">
        <x:v>660</x:v>
      </x:c>
      <x:c r="D5" s="3" t="s">
        <x:v>128</x:v>
      </x:c>
      <x:c r="E5" s="3" t="s">
        <x:v>116</x:v>
      </x:c>
      <x:c r="F5" s="3" t="s">
        <x:v>696</x:v>
      </x:c>
      <x:c r="G5" s="3" t="s">
        <x:v>250</x:v>
      </x:c>
      <x:c r="H5" s="3" t="s">
        <x:v>97</x:v>
      </x:c>
      <x:c r="I5" s="3" t="s">
        <x:v>97</x:v>
      </x:c>
      <x:c r="J5" s="3" t="s">
        <x:v>508</x:v>
      </x:c>
      <x:c r="K5" s="3" t="s">
        <x:v>728</x:v>
      </x:c>
    </x:row>
    <x:row r="6" spans="1:11" ht="48" customHeight="1">
      <x:c r="A6" s="3" t="s">
        <x:v>647</x:v>
      </x:c>
      <x:c r="B6" s="3" t="s">
        <x:v>375</x:v>
      </x:c>
      <x:c r="C6" s="3" t="s">
        <x:v>660</x:v>
      </x:c>
      <x:c r="D6" s="3" t="s">
        <x:v>125</x:v>
      </x:c>
      <x:c r="E6" s="3" t="s">
        <x:v>116</x:v>
      </x:c>
      <x:c r="F6" s="3" t="s">
        <x:v>737</x:v>
      </x:c>
      <x:c r="G6" s="3" t="s">
        <x:v>703</x:v>
      </x:c>
      <x:c r="H6" s="3" t="s">
        <x:v>97</x:v>
      </x:c>
      <x:c r="I6" s="3" t="s">
        <x:v>97</x:v>
      </x:c>
      <x:c r="J6" s="3" t="s">
        <x:v>508</x:v>
      </x:c>
      <x:c r="K6" s="3" t="s">
        <x:v>117</x:v>
      </x:c>
    </x:row>
    <x:row r="7" spans="1:11" ht="48" customHeight="1">
      <x:c r="A7" s="3" t="s">
        <x:v>661</x:v>
      </x:c>
      <x:c r="B7" s="3" t="s">
        <x:v>348</x:v>
      </x:c>
      <x:c r="C7" s="3" t="s">
        <x:v>589</x:v>
      </x:c>
      <x:c r="D7" s="3" t="s">
        <x:v>124</x:v>
      </x:c>
      <x:c r="E7" s="3" t="s">
        <x:v>119</x:v>
      </x:c>
      <x:c r="F7" s="3" t="s">
        <x:v>70</x:v>
      </x:c>
      <x:c r="G7" s="3" t="s">
        <x:v>251</x:v>
      </x:c>
      <x:c r="H7" s="3" t="s">
        <x:v>97</x:v>
      </x:c>
      <x:c r="I7" s="3" t="s">
        <x:v>97</x:v>
      </x:c>
      <x:c r="J7" s="3" t="s">
        <x:v>508</x:v>
      </x:c>
      <x:c r="K7" s="3" t="s">
        <x:v>252</x:v>
      </x:c>
    </x:row>
    <x:row r="8" spans="1:11" ht="48" customHeight="1">
      <x:c r="A8" s="3" t="s">
        <x:v>641</x:v>
      </x:c>
      <x:c r="B8" s="3" t="s">
        <x:v>341</x:v>
      </x:c>
      <x:c r="C8" s="3" t="s">
        <x:v>589</x:v>
      </x:c>
      <x:c r="D8" s="3" t="s">
        <x:v>127</x:v>
      </x:c>
      <x:c r="E8" s="3" t="s">
        <x:v>119</x:v>
      </x:c>
      <x:c r="F8" s="3" t="s">
        <x:v>711</x:v>
      </x:c>
      <x:c r="G8" s="3" t="s">
        <x:v>185</x:v>
      </x:c>
      <x:c r="H8" s="3" t="s">
        <x:v>97</x:v>
      </x:c>
      <x:c r="I8" s="3" t="s">
        <x:v>97</x:v>
      </x:c>
      <x:c r="J8" s="3" t="s">
        <x:v>508</x:v>
      </x:c>
      <x:c r="K8" s="3" t="s">
        <x:v>157</x:v>
      </x:c>
    </x:row>
    <x:row r="9" spans="1:11" ht="48" customHeight="1">
      <x:c r="A9" s="3" t="s">
        <x:v>674</x:v>
      </x:c>
      <x:c r="B9" s="3" t="s">
        <x:v>612</x:v>
      </x:c>
      <x:c r="C9" s="3" t="s">
        <x:v>644</x:v>
      </x:c>
      <x:c r="D9" s="3" t="s">
        <x:v>126</x:v>
      </x:c>
      <x:c r="E9" s="3" t="s">
        <x:v>158</x:v>
      </x:c>
      <x:c r="F9" s="3" t="s">
        <x:v>212</x:v>
      </x:c>
      <x:c r="G9" s="3" t="s">
        <x:v>166</x:v>
      </x:c>
      <x:c r="H9" s="3" t="s">
        <x:v>97</x:v>
      </x:c>
      <x:c r="I9" s="3" t="s">
        <x:v>97</x:v>
      </x:c>
      <x:c r="J9" s="3" t="s">
        <x:v>508</x:v>
      </x:c>
      <x:c r="K9" s="3" t="s">
        <x:v>253</x:v>
      </x:c>
    </x:row>
    <x:row r="10" spans="1:11" ht="48" customHeight="1">
      <x:c r="A10" s="3" t="s">
        <x:v>619</x:v>
      </x:c>
      <x:c r="B10" s="3" t="s">
        <x:v>383</x:v>
      </x:c>
      <x:c r="C10" s="3" t="s">
        <x:v>660</x:v>
      </x:c>
      <x:c r="D10" s="3" t="s">
        <x:v>470</x:v>
      </x:c>
      <x:c r="E10" s="3" t="s">
        <x:v>116</x:v>
      </x:c>
      <x:c r="F10" s="3" t="s">
        <x:v>162</x:v>
      </x:c>
      <x:c r="G10" s="3" t="s">
        <x:v>693</x:v>
      </x:c>
      <x:c r="H10" s="3" t="s">
        <x:v>97</x:v>
      </x:c>
      <x:c r="I10" s="3" t="s">
        <x:v>97</x:v>
      </x:c>
      <x:c r="J10" s="3" t="s">
        <x:v>508</x:v>
      </x:c>
      <x:c r="K10" s="3" t="s">
        <x:v>117</x:v>
      </x:c>
    </x:row>
    <x:row r="11" spans="1:11" ht="48" customHeight="1">
      <x:c r="A11" s="3" t="s">
        <x:v>588</x:v>
      </x:c>
      <x:c r="B11" s="3" t="s">
        <x:v>352</x:v>
      </x:c>
      <x:c r="C11" s="3" t="s">
        <x:v>589</x:v>
      </x:c>
      <x:c r="D11" s="3" t="s">
        <x:v>548</x:v>
      </x:c>
      <x:c r="E11" s="3" t="s">
        <x:v>169</x:v>
      </x:c>
      <x:c r="F11" s="3" t="s">
        <x:v>88</x:v>
      </x:c>
      <x:c r="G11" s="3" t="s">
        <x:v>89</x:v>
      </x:c>
      <x:c r="H11" s="3" t="s">
        <x:v>197</x:v>
      </x:c>
      <x:c r="I11" s="3" t="s">
        <x:v>120</x:v>
      </x:c>
      <x:c r="J11" s="3" t="s">
        <x:v>508</x:v>
      </x:c>
      <x:c r="K11" s="3" t="s">
        <x:v>725</x:v>
      </x:c>
    </x:row>
    <x:row r="12" spans="1:11" ht="48" customHeight="1">
      <x:c r="A12" s="3" t="s">
        <x:v>657</x:v>
      </x:c>
      <x:c r="B12" s="3" t="s">
        <x:v>369</x:v>
      </x:c>
      <x:c r="C12" s="3" t="s">
        <x:v>589</x:v>
      </x:c>
      <x:c r="D12" s="3" t="s">
        <x:v>552</x:v>
      </x:c>
      <x:c r="E12" s="3" t="s">
        <x:v>169</x:v>
      </x:c>
      <x:c r="F12" s="3" t="s">
        <x:v>736</x:v>
      </x:c>
      <x:c r="G12" s="3" t="s">
        <x:v>4</x:v>
      </x:c>
      <x:c r="H12" s="3" t="s">
        <x:v>197</x:v>
      </x:c>
      <x:c r="I12" s="3" t="s">
        <x:v>120</x:v>
      </x:c>
      <x:c r="J12" s="3" t="s">
        <x:v>508</x:v>
      </x:c>
      <x:c r="K12" s="3" t="s">
        <x:v>726</x:v>
      </x:c>
    </x:row>
    <x:row r="13" spans="1:11" ht="48" customHeight="1">
      <x:c r="A13" s="3" t="s">
        <x:v>594</x:v>
      </x:c>
      <x:c r="B13" s="3" t="s">
        <x:v>410</x:v>
      </x:c>
      <x:c r="C13" s="3" t="s">
        <x:v>589</x:v>
      </x:c>
      <x:c r="D13" s="3" t="s">
        <x:v>308</x:v>
      </x:c>
      <x:c r="E13" s="3" t="s">
        <x:v>169</x:v>
      </x:c>
      <x:c r="F13" s="3" t="s">
        <x:v>721</x:v>
      </x:c>
      <x:c r="G13" s="3" t="s">
        <x:v>45</x:v>
      </x:c>
      <x:c r="H13" s="3" t="s">
        <x:v>197</x:v>
      </x:c>
      <x:c r="I13" s="3" t="s">
        <x:v>120</x:v>
      </x:c>
      <x:c r="J13" s="3" t="s">
        <x:v>508</x:v>
      </x:c>
      <x:c r="K13" s="3" t="s">
        <x:v>724</x:v>
      </x:c>
    </x:row>
    <x:row r="14" spans="1:11" ht="48" customHeight="1">
      <x:c r="A14" s="3" t="s">
        <x:v>633</x:v>
      </x:c>
      <x:c r="B14" s="3" t="s">
        <x:v>338</x:v>
      </x:c>
      <x:c r="C14" s="3" t="s">
        <x:v>589</x:v>
      </x:c>
      <x:c r="D14" s="3" t="s">
        <x:v>130</x:v>
      </x:c>
      <x:c r="E14" s="3" t="s">
        <x:v>119</x:v>
      </x:c>
      <x:c r="F14" s="3" t="s">
        <x:v>711</x:v>
      </x:c>
      <x:c r="G14" s="3" t="s">
        <x:v>706</x:v>
      </x:c>
      <x:c r="H14" s="3" t="s">
        <x:v>97</x:v>
      </x:c>
      <x:c r="I14" s="3" t="s">
        <x:v>97</x:v>
      </x:c>
      <x:c r="J14" s="3" t="s">
        <x:v>508</x:v>
      </x:c>
      <x:c r="K14" s="3" t="s">
        <x:v>157</x:v>
      </x:c>
    </x:row>
    <x:row r="15" spans="1:11" ht="48" customHeight="1">
      <x:c r="A15" s="3" t="s">
        <x:v>668</x:v>
      </x:c>
      <x:c r="B15" s="3" t="s">
        <x:v>344</x:v>
      </x:c>
      <x:c r="C15" s="3" t="s">
        <x:v>589</x:v>
      </x:c>
      <x:c r="D15" s="3" t="s">
        <x:v>549</x:v>
      </x:c>
      <x:c r="E15" s="3" t="s">
        <x:v>119</x:v>
      </x:c>
      <x:c r="F15" s="3" t="s">
        <x:v>498</x:v>
      </x:c>
      <x:c r="G15" s="3" t="s">
        <x:v>730</x:v>
      </x:c>
      <x:c r="H15" s="3" t="s">
        <x:v>97</x:v>
      </x:c>
      <x:c r="I15" s="3" t="s">
        <x:v>97</x:v>
      </x:c>
      <x:c r="J15" s="3" t="s">
        <x:v>508</x:v>
      </x:c>
      <x:c r="K15" s="3" t="s">
        <x:v>157</x:v>
      </x:c>
    </x:row>
    <x:row r="16" spans="1:11" ht="48" customHeight="1">
      <x:c r="A16" s="3" t="s">
        <x:v>640</x:v>
      </x:c>
      <x:c r="B16" s="3" t="s">
        <x:v>376</x:v>
      </x:c>
      <x:c r="C16" s="3" t="s">
        <x:v>589</x:v>
      </x:c>
      <x:c r="D16" s="3" t="s">
        <x:v>163</x:v>
      </x:c>
      <x:c r="E16" s="3" t="s">
        <x:v>119</x:v>
      </x:c>
      <x:c r="F16" s="3" t="s">
        <x:v>526</x:v>
      </x:c>
      <x:c r="G16" s="3" t="s">
        <x:v>131</x:v>
      </x:c>
      <x:c r="H16" s="3" t="s">
        <x:v>178</x:v>
      </x:c>
      <x:c r="I16" s="3" t="s">
        <x:v>120</x:v>
      </x:c>
      <x:c r="J16" s="3" t="s">
        <x:v>508</x:v>
      </x:c>
      <x:c r="K16" s="3" t="s">
        <x:v>731</x:v>
      </x:c>
    </x:row>
    <x:row r="17" spans="1:11" ht="48" customHeight="1">
      <x:c r="A17" s="3" t="s">
        <x:v>626</x:v>
      </x:c>
      <x:c r="B17" s="3" t="s">
        <x:v>414</x:v>
      </x:c>
      <x:c r="C17" s="3" t="s">
        <x:v>589</x:v>
      </x:c>
      <x:c r="D17" s="3" t="s">
        <x:v>168</x:v>
      </x:c>
      <x:c r="E17" s="3" t="s">
        <x:v>119</x:v>
      </x:c>
      <x:c r="F17" s="3" t="s">
        <x:v>584</x:v>
      </x:c>
      <x:c r="G17" s="3" t="s">
        <x:v>254</x:v>
      </x:c>
      <x:c r="H17" s="3" t="s">
        <x:v>97</x:v>
      </x:c>
      <x:c r="I17" s="3" t="s">
        <x:v>97</x:v>
      </x:c>
      <x:c r="J17" s="3" t="s">
        <x:v>508</x:v>
      </x:c>
      <x:c r="K17" s="3" t="s">
        <x:v>255</x:v>
      </x:c>
    </x:row>
    <x:row r="18" spans="1:11" ht="48" customHeight="1">
      <x:c r="A18" s="3" t="s">
        <x:v>618</x:v>
      </x:c>
      <x:c r="B18" s="3" t="s">
        <x:v>347</x:v>
      </x:c>
      <x:c r="C18" s="3" t="s">
        <x:v>589</x:v>
      </x:c>
      <x:c r="D18" s="3" t="s">
        <x:v>132</x:v>
      </x:c>
      <x:c r="E18" s="3" t="s">
        <x:v>119</x:v>
      </x:c>
      <x:c r="F18" s="3" t="s">
        <x:v>221</x:v>
      </x:c>
      <x:c r="G18" s="3" t="s">
        <x:v>729</x:v>
      </x:c>
      <x:c r="H18" s="3" t="s">
        <x:v>97</x:v>
      </x:c>
      <x:c r="I18" s="3" t="s">
        <x:v>97</x:v>
      </x:c>
      <x:c r="J18" s="3" t="s">
        <x:v>508</x:v>
      </x:c>
      <x:c r="K18" s="3" t="s">
        <x:v>157</x:v>
      </x:c>
    </x:row>
    <x:row r="19" spans="1:11" ht="48" customHeight="1">
      <x:c r="A19" s="3" t="s">
        <x:v>672</x:v>
      </x:c>
      <x:c r="B19" s="3" t="s">
        <x:v>450</x:v>
      </x:c>
      <x:c r="C19" s="3" t="s">
        <x:v>660</x:v>
      </x:c>
      <x:c r="D19" s="3" t="s">
        <x:v>309</x:v>
      </x:c>
      <x:c r="E19" s="3" t="s">
        <x:v>134</x:v>
      </x:c>
      <x:c r="F19" s="3" t="s">
        <x:v>212</x:v>
      </x:c>
      <x:c r="G19" s="3" t="s">
        <x:v>129</x:v>
      </x:c>
      <x:c r="H19" s="3" t="s">
        <x:v>97</x:v>
      </x:c>
      <x:c r="I19" s="3" t="s">
        <x:v>97</x:v>
      </x:c>
      <x:c r="J19" s="3" t="s">
        <x:v>508</x:v>
      </x:c>
      <x:c r="K19" s="3" t="s">
        <x:v>230</x:v>
      </x:c>
    </x:row>
    <x:row r="20" spans="1:11" ht="48" customHeight="1">
      <x:c r="A20" s="3" t="s">
        <x:v>609</x:v>
      </x:c>
      <x:c r="B20" s="3" t="s">
        <x:v>345</x:v>
      </x:c>
      <x:c r="C20" s="3" t="s">
        <x:v>589</x:v>
      </x:c>
      <x:c r="D20" s="3" t="s">
        <x:v>546</x:v>
      </x:c>
      <x:c r="E20" s="3" t="s">
        <x:v>119</x:v>
      </x:c>
      <x:c r="F20" s="3" t="s">
        <x:v>133</x:v>
      </x:c>
      <x:c r="G20" s="3" t="s">
        <x:v>274</x:v>
      </x:c>
      <x:c r="H20" s="3" t="s">
        <x:v>178</x:v>
      </x:c>
      <x:c r="I20" s="3" t="s">
        <x:v>120</x:v>
      </x:c>
      <x:c r="J20" s="3" t="s">
        <x:v>508</x:v>
      </x:c>
      <x:c r="K20" s="3" t="s">
        <x:v>122</x:v>
      </x:c>
    </x:row>
    <x:row r="21" spans="1:11" ht="48" customHeight="1">
      <x:c r="A21" s="3" t="s">
        <x:v>610</x:v>
      </x:c>
      <x:c r="B21" s="3" t="s">
        <x:v>337</x:v>
      </x:c>
      <x:c r="C21" s="3" t="s">
        <x:v>644</x:v>
      </x:c>
      <x:c r="D21" s="3" t="s">
        <x:v>139</x:v>
      </x:c>
      <x:c r="E21" s="3" t="s">
        <x:v>158</x:v>
      </x:c>
      <x:c r="F21" s="3" t="s">
        <x:v>584</x:v>
      </x:c>
      <x:c r="G21" s="3" t="s">
        <x:v>239</x:v>
      </x:c>
      <x:c r="H21" s="3" t="s">
        <x:v>97</x:v>
      </x:c>
      <x:c r="I21" s="3" t="s">
        <x:v>97</x:v>
      </x:c>
      <x:c r="J21" s="3" t="s">
        <x:v>508</x:v>
      </x:c>
      <x:c r="K21" s="3" t="s">
        <x:v>170</x:v>
      </x:c>
    </x:row>
    <x:row r="22" spans="1:11" ht="48" customHeight="1">
      <x:c r="A22" s="3" t="s">
        <x:v>643</x:v>
      </x:c>
      <x:c r="B22" s="3" t="s">
        <x:v>377</x:v>
      </x:c>
      <x:c r="C22" s="3" t="s">
        <x:v>660</x:v>
      </x:c>
      <x:c r="D22" s="3" t="s">
        <x:v>545</x:v>
      </x:c>
      <x:c r="E22" s="3" t="s">
        <x:v>733</x:v>
      </x:c>
      <x:c r="F22" s="3" t="s">
        <x:v>487</x:v>
      </x:c>
      <x:c r="G22" s="3" t="s">
        <x:v>161</x:v>
      </x:c>
      <x:c r="H22" s="3" t="s">
        <x:v>97</x:v>
      </x:c>
      <x:c r="I22" s="3" t="s">
        <x:v>97</x:v>
      </x:c>
      <x:c r="J22" s="3" t="s">
        <x:v>508</x:v>
      </x:c>
      <x:c r="K22" s="3" t="s">
        <x:v>117</x:v>
      </x:c>
    </x:row>
    <x:row r="23" spans="1:11" ht="48" customHeight="1">
      <x:c r="A23" s="3" t="s">
        <x:v>637</x:v>
      </x:c>
      <x:c r="B23" s="3" t="s">
        <x:v>444</x:v>
      </x:c>
      <x:c r="C23" s="3" t="s">
        <x:v>589</x:v>
      </x:c>
      <x:c r="D23" s="3" t="s">
        <x:v>472</x:v>
      </x:c>
      <x:c r="E23" s="3" t="s">
        <x:v>119</x:v>
      </x:c>
      <x:c r="F23" s="3" t="s">
        <x:v>232</x:v>
      </x:c>
      <x:c r="G23" s="3" t="s">
        <x:v>136</x:v>
      </x:c>
      <x:c r="H23" s="3" t="s">
        <x:v>97</x:v>
      </x:c>
      <x:c r="I23" s="3" t="s">
        <x:v>97</x:v>
      </x:c>
      <x:c r="J23" s="3" t="s">
        <x:v>508</x:v>
      </x:c>
      <x:c r="K23" s="3" t="s">
        <x:v>249</x:v>
      </x:c>
    </x:row>
    <x:row r="24" spans="1:11" ht="48" customHeight="1">
      <x:c r="A24" s="3" t="s">
        <x:v>669</x:v>
      </x:c>
      <x:c r="B24" s="3" t="s">
        <x:v>336</x:v>
      </x:c>
      <x:c r="C24" s="3" t="s">
        <x:v>357</x:v>
      </x:c>
      <x:c r="D24" s="3" t="s">
        <x:v>732</x:v>
      </x:c>
      <x:c r="E24" s="3" t="s">
        <x:v>488</x:v>
      </x:c>
      <x:c r="F24" s="3" t="s">
        <x:v>584</x:v>
      </x:c>
      <x:c r="G24" s="3" t="s">
        <x:v>140</x:v>
      </x:c>
      <x:c r="H24" s="3" t="s">
        <x:v>97</x:v>
      </x:c>
      <x:c r="I24" s="3" t="s">
        <x:v>97</x:v>
      </x:c>
      <x:c r="J24" s="3" t="s">
        <x:v>508</x:v>
      </x:c>
      <x:c r="K24" s="3" t="s">
        <x:v>488</x:v>
      </x:c>
    </x:row>
    <x:row r="25" spans="1:11" ht="48" customHeight="1">
      <x:c r="A25" s="3" t="s">
        <x:v>607</x:v>
      </x:c>
      <x:c r="B25" s="3" t="s">
        <x:v>362</x:v>
      </x:c>
      <x:c r="C25" s="3" t="s">
        <x:v>589</x:v>
      </x:c>
      <x:c r="D25" s="3" t="s">
        <x:v>547</x:v>
      </x:c>
      <x:c r="E25" s="3" t="s">
        <x:v>135</x:v>
      </x:c>
      <x:c r="F25" s="3" t="s">
        <x:v>171</x:v>
      </x:c>
      <x:c r="G25" s="3" t="s">
        <x:v>31</x:v>
      </x:c>
      <x:c r="H25" s="3" t="s">
        <x:v>178</x:v>
      </x:c>
      <x:c r="I25" s="3" t="s">
        <x:v>120</x:v>
      </x:c>
      <x:c r="J25" s="3" t="s">
        <x:v>508</x:v>
      </x:c>
      <x:c r="K25" s="3" t="s">
        <x:v>731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landscape" usePrinterDefaults="1" blackAndWhite="0" draft="0" useFirstPageNumber="0" horizontalDpi="0" verticalDpi="0" copies="1"/>
  <x:headerFooter differentOddEven="0" differentFirst="0" scaleWithDoc="1" alignWithMargins="1"/>
  <x:tableParts count="1">
    <x:tablePart r:id="rId1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3" baseType="lpstr">
      <vt:lpstr>Scope</vt:lpstr>
      <vt:lpstr>Assets</vt:lpstr>
      <vt:lpstr>Processing</vt:lpstr>
      <vt:lpstr>Accounts</vt:lpstr>
      <vt:lpstr>Sources</vt:lpstr>
      <vt:lpstr>Controls</vt:lpstr>
      <vt:lpstr>Checks</vt:lpstr>
      <vt:lpstr>Findings</vt:lpstr>
      <vt:lpstr>Actions</vt:lpstr>
      <vt:lpstr>Retest</vt:lpstr>
      <vt:lpstr>Evidence</vt:lpstr>
      <vt:lpstr>Incident</vt:lpstr>
      <vt:lpstr>FinalReview</vt:lpstr>
    </vt:vector>
  </ep:TitlesOfParts>
  <ep:TotalTime>117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JY Group Privacy Audit Workbook</dc:title>
  <dc:subject>가상 실습 개인정보 진단 워크북 (JY Retail/Service/Vendor)</dc:subject>
  <dc:creator>JY Lab</dc:creator>
  <dc:description>단일 Zammad 인스턴스 가상 실습. 실제 기업 감사가 아님. F-01·F-02 시험·개선·재점검 및 F-03 파기 잔존 확인 반영. T12 잔존 파기는 예정.</dc:description>
  <cp:lastModifiedBy>kysim</cp:lastModifiedBy>
  <cp:revision>14</cp:revision>
  <dcterms:created xsi:type="dcterms:W3CDTF">2026-10-07T02:49:35.000</dcterms:created>
  <dcterms:modified xsi:type="dcterms:W3CDTF">2026-10-19T06:09:02.932</dcterms:modified>
  <cp:version>1300.0100.01</cp:version>
</cp:coreProperties>
</file>